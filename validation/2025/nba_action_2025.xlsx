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gmdRC_JzgO-RfuacYWKDF2Teq8Sc6nZA\Sport\Pubblicazioni\"/>
    </mc:Choice>
  </mc:AlternateContent>
  <xr:revisionPtr revIDLastSave="0" documentId="8_{873E87F6-8D05-40F5-8F33-3ADE0178CBB6}" xr6:coauthVersionLast="47" xr6:coauthVersionMax="47" xr10:uidLastSave="{00000000-0000-0000-0000-000000000000}"/>
  <bookViews>
    <workbookView xWindow="-108" yWindow="-108" windowWidth="23256" windowHeight="12456" xr2:uid="{6519A204-9231-488B-A72E-396000EDEC2C}"/>
  </bookViews>
  <sheets>
    <sheet name="Box scores 2024-25" sheetId="1" r:id="rId1"/>
    <sheet name="Violations 2024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  <c r="C38" i="1"/>
  <c r="C37" i="1"/>
  <c r="C36" i="1"/>
  <c r="C35" i="1"/>
  <c r="C34" i="1"/>
  <c r="C44" i="1" l="1"/>
  <c r="D35" i="1" l="1"/>
  <c r="D36" i="1"/>
  <c r="D37" i="1"/>
  <c r="D38" i="1"/>
  <c r="D39" i="1"/>
  <c r="D41" i="1"/>
  <c r="D42" i="1"/>
  <c r="D34" i="1"/>
  <c r="D40" i="1"/>
  <c r="D43" i="1"/>
</calcChain>
</file>

<file path=xl/sharedStrings.xml><?xml version="1.0" encoding="utf-8"?>
<sst xmlns="http://schemas.openxmlformats.org/spreadsheetml/2006/main" count="286" uniqueCount="188">
  <si>
    <t>Team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</si>
  <si>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</si>
  <si>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</si>
  <si>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</si>
  <si>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</si>
  <si>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</si>
  <si>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</si>
  <si>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</si>
  <si>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</si>
  <si>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</si>
  <si>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</si>
  <si>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</si>
  <si>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</si>
  <si>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</si>
  <si>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</si>
  <si>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</si>
  <si>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</si>
  <si>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</si>
  <si>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</si>
  <si>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</si>
  <si>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</si>
  <si>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</si>
  <si>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</si>
  <si>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</si>
  <si>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</si>
  <si>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</si>
  <si>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</si>
  <si>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.829</t>
  </si>
  <si>
    <t>48.2</t>
  </si>
  <si>
    <t>37.4</t>
  </si>
  <si>
    <t>81.9</t>
  </si>
  <si>
    <t>.780</t>
  </si>
  <si>
    <t>49.1</t>
  </si>
  <si>
    <t>38.3</t>
  </si>
  <si>
    <t>77.6</t>
  </si>
  <si>
    <t>.744</t>
  </si>
  <si>
    <t>46.2</t>
  </si>
  <si>
    <t>36.8</t>
  </si>
  <si>
    <t>79.9</t>
  </si>
  <si>
    <t>.634</t>
  </si>
  <si>
    <t>45.5</t>
  </si>
  <si>
    <t>35.3</t>
  </si>
  <si>
    <t>73.8</t>
  </si>
  <si>
    <t>.622</t>
  </si>
  <si>
    <t>48.6</t>
  </si>
  <si>
    <t>36.9</t>
  </si>
  <si>
    <t>80.0</t>
  </si>
  <si>
    <t>.610</t>
  </si>
  <si>
    <t>50.6</t>
  </si>
  <si>
    <t>37.6</t>
  </si>
  <si>
    <t>77.0</t>
  </si>
  <si>
    <t>48.8</t>
  </si>
  <si>
    <t>78.9</t>
  </si>
  <si>
    <t>37.3</t>
  </si>
  <si>
    <t>79.7</t>
  </si>
  <si>
    <t>47.9</t>
  </si>
  <si>
    <t>36.6</t>
  </si>
  <si>
    <t>78.5</t>
  </si>
  <si>
    <t>.598</t>
  </si>
  <si>
    <t>46.8</t>
  </si>
  <si>
    <t>37.7</t>
  </si>
  <si>
    <t>.585</t>
  </si>
  <si>
    <t>45.1</t>
  </si>
  <si>
    <t>36.4</t>
  </si>
  <si>
    <t>76.4</t>
  </si>
  <si>
    <t>36.7</t>
  </si>
  <si>
    <t>78.6</t>
  </si>
  <si>
    <t>38.7</t>
  </si>
  <si>
    <t>75.0</t>
  </si>
  <si>
    <t>.537</t>
  </si>
  <si>
    <t>47.6</t>
  </si>
  <si>
    <t>36.2</t>
  </si>
  <si>
    <t>77.4</t>
  </si>
  <si>
    <t>.500</t>
  </si>
  <si>
    <t>44.5</t>
  </si>
  <si>
    <t>31.8</t>
  </si>
  <si>
    <t>77.5</t>
  </si>
  <si>
    <t>.488</t>
  </si>
  <si>
    <t>47.2</t>
  </si>
  <si>
    <t>35.8</t>
  </si>
  <si>
    <t>47.8</t>
  </si>
  <si>
    <t>35.7</t>
  </si>
  <si>
    <t>80.6</t>
  </si>
  <si>
    <t>.476</t>
  </si>
  <si>
    <t>47.0</t>
  </si>
  <si>
    <t>80.9</t>
  </si>
  <si>
    <t>.451</t>
  </si>
  <si>
    <t>46.5</t>
  </si>
  <si>
    <t>79.1</t>
  </si>
  <si>
    <t>.439</t>
  </si>
  <si>
    <t>37.8</t>
  </si>
  <si>
    <t>81.0</t>
  </si>
  <si>
    <t>45.0</t>
  </si>
  <si>
    <t>34.2</t>
  </si>
  <si>
    <t>76.2</t>
  </si>
  <si>
    <t>.415</t>
  </si>
  <si>
    <t>.366</t>
  </si>
  <si>
    <t>45.8</t>
  </si>
  <si>
    <t>34.8</t>
  </si>
  <si>
    <t>74.8</t>
  </si>
  <si>
    <t>.317</t>
  </si>
  <si>
    <t>43.7</t>
  </si>
  <si>
    <t>34.4</t>
  </si>
  <si>
    <t>78.7</t>
  </si>
  <si>
    <t>.293</t>
  </si>
  <si>
    <t>45.4</t>
  </si>
  <si>
    <t>34.1</t>
  </si>
  <si>
    <t>78.0</t>
  </si>
  <si>
    <t>.256</t>
  </si>
  <si>
    <t>45.2</t>
  </si>
  <si>
    <t>34.7</t>
  </si>
  <si>
    <t>75.4</t>
  </si>
  <si>
    <t>.232</t>
  </si>
  <si>
    <t>43.0</t>
  </si>
  <si>
    <t>33.9</t>
  </si>
  <si>
    <t>78.3</t>
  </si>
  <si>
    <t>.220</t>
  </si>
  <si>
    <t>43.9</t>
  </si>
  <si>
    <t>33.5</t>
  </si>
  <si>
    <t>77.8</t>
  </si>
  <si>
    <t>.207</t>
  </si>
  <si>
    <t>35.0</t>
  </si>
  <si>
    <t>Oklahoma City Thunder Logo</t>
  </si>
  <si>
    <t>Cleveland Cavaliers Logo</t>
  </si>
  <si>
    <t>Boston Celtics Logo</t>
  </si>
  <si>
    <t>Houston Rockets Logo</t>
  </si>
  <si>
    <t>New York Knicks Logo</t>
  </si>
  <si>
    <t>Denver Nuggets Logo</t>
  </si>
  <si>
    <t>Indiana Pacers Logo</t>
  </si>
  <si>
    <t>LA Clippers Logo</t>
  </si>
  <si>
    <t>Los Angeles Lakers Logo</t>
  </si>
  <si>
    <t>Minnesota Timberwolves Logo</t>
  </si>
  <si>
    <t>Golden State Warriors Logo</t>
  </si>
  <si>
    <t>Memphis Grizzlies Logo</t>
  </si>
  <si>
    <t>Milwaukee Bucks Logo</t>
  </si>
  <si>
    <t>Detroit Pistons Logo</t>
  </si>
  <si>
    <t>Orlando Magic Logo</t>
  </si>
  <si>
    <t>Atlanta Hawks Logo</t>
  </si>
  <si>
    <t>Sacramento Kings Logo</t>
  </si>
  <si>
    <t>Chicago Bulls Logo</t>
  </si>
  <si>
    <t>Dallas Mavericks Logo</t>
  </si>
  <si>
    <t>Miami Heat Logo</t>
  </si>
  <si>
    <t>Phoenix Suns Logo</t>
  </si>
  <si>
    <t>Portland Trail Blazers Logo</t>
  </si>
  <si>
    <t>San Antonio Spurs Logo</t>
  </si>
  <si>
    <t>Toronto Raptors Logo</t>
  </si>
  <si>
    <t>Brooklyn Nets Logo</t>
  </si>
  <si>
    <t>Philadelphia 76ers Logo</t>
  </si>
  <si>
    <t>New Orleans Pelicans Logo</t>
  </si>
  <si>
    <t>Charlotte Hornets Logo</t>
  </si>
  <si>
    <t>Washington Wizards Logo</t>
  </si>
  <si>
    <t>Utah Jazz Logo</t>
  </si>
  <si>
    <t>Rebound</t>
  </si>
  <si>
    <t>2PT shots</t>
  </si>
  <si>
    <t>3PT shots</t>
  </si>
  <si>
    <t>FT</t>
  </si>
  <si>
    <t>Foul</t>
  </si>
  <si>
    <t>TO</t>
  </si>
  <si>
    <t>Steal</t>
  </si>
  <si>
    <t>Blocks</t>
  </si>
  <si>
    <t>TOTALE</t>
  </si>
  <si>
    <t>Osservati anno 2024-25</t>
  </si>
  <si>
    <t>BARD</t>
  </si>
  <si>
    <t>Travel</t>
  </si>
  <si>
    <t>DOUBLE</t>
  </si>
  <si>
    <t>DRIBBLE</t>
  </si>
  <si>
    <t>DISC.</t>
  </si>
  <si>
    <t>OFF.</t>
  </si>
  <si>
    <t>3 SEC</t>
  </si>
  <si>
    <t>5 SEC.</t>
  </si>
  <si>
    <t>8 SEC.</t>
  </si>
  <si>
    <t>SHOT</t>
  </si>
  <si>
    <t>CLK</t>
  </si>
  <si>
    <t>INBOUND</t>
  </si>
  <si>
    <t>BACK-</t>
  </si>
  <si>
    <t>COURT</t>
  </si>
  <si>
    <t>GLTND</t>
  </si>
  <si>
    <t>PALMING</t>
  </si>
  <si>
    <t>FOUL</t>
  </si>
  <si>
    <t>DEF.</t>
  </si>
  <si>
    <t>CHARGE</t>
  </si>
  <si>
    <t>DELAY</t>
  </si>
  <si>
    <t>GAME</t>
  </si>
  <si>
    <t>LANE</t>
  </si>
  <si>
    <t>JUMP</t>
  </si>
  <si>
    <t>BALL</t>
  </si>
  <si>
    <t>KICKED</t>
  </si>
  <si>
    <t>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</si>
</sst>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0" fontId="0" fillId="5" borderId="0" xfId="1" applyNumberFormat="1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DF6E-5425-4D2E-BF2E-BBE05FA5AA61}">
  <dimension ref="A1:AB44"/>
  <sheetViews>
    <sheetView tabSelected="1" topLeftCell="A29" zoomScale="145" zoomScaleNormal="145" workbookViewId="0">
      <selection activeCell="B33" sqref="B33"/>
    </sheetView>
  </sheetViews>
  <sheetFormatPr defaultRowHeight="14.4" x14ac:dyDescent="0.3"/>
  <cols>
    <col min="1" max="1" width="3" style="1" bestFit="1" customWidth="1"/>
    <col min="2" max="2" width="26.33203125" style="1" bestFit="1" customWidth="1"/>
    <col min="3" max="3" width="8.88671875" style="1"/>
    <col min="4" max="4" width="12.21875" style="1" customWidth="1"/>
    <col min="5" max="16384" width="8.88671875" style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>
        <v>1</v>
      </c>
      <c r="B2" s="1" t="s">
        <v>122</v>
      </c>
      <c r="C2" s="1">
        <v>82</v>
      </c>
      <c r="D2" s="1">
        <v>68</v>
      </c>
      <c r="E2" s="1">
        <v>14</v>
      </c>
      <c r="F2" s="1" t="s">
        <v>27</v>
      </c>
      <c r="G2" s="1">
        <v>3941</v>
      </c>
      <c r="H2" s="1">
        <v>9881</v>
      </c>
      <c r="I2" s="1">
        <v>3660</v>
      </c>
      <c r="J2" s="1">
        <v>7600</v>
      </c>
      <c r="K2" s="1" t="s">
        <v>28</v>
      </c>
      <c r="L2" s="1">
        <v>1192</v>
      </c>
      <c r="M2" s="1">
        <v>3184</v>
      </c>
      <c r="N2" s="1" t="s">
        <v>29</v>
      </c>
      <c r="O2" s="1">
        <v>1369</v>
      </c>
      <c r="P2" s="1">
        <v>1672</v>
      </c>
      <c r="Q2" s="1" t="s">
        <v>30</v>
      </c>
      <c r="R2" s="1">
        <v>871</v>
      </c>
      <c r="S2" s="1">
        <v>2801</v>
      </c>
      <c r="T2" s="1">
        <v>3672</v>
      </c>
      <c r="U2" s="1">
        <v>2202</v>
      </c>
      <c r="V2" s="1">
        <v>961</v>
      </c>
      <c r="W2" s="1">
        <v>847</v>
      </c>
      <c r="X2" s="1">
        <v>465</v>
      </c>
      <c r="Y2" s="1">
        <v>392</v>
      </c>
      <c r="Z2" s="1">
        <v>1631</v>
      </c>
      <c r="AA2" s="1">
        <v>1485</v>
      </c>
      <c r="AB2" s="1">
        <v>1055</v>
      </c>
    </row>
    <row r="3" spans="1:28" x14ac:dyDescent="0.3">
      <c r="A3" s="1">
        <v>2</v>
      </c>
      <c r="B3" s="1" t="s">
        <v>123</v>
      </c>
      <c r="C3" s="1">
        <v>82</v>
      </c>
      <c r="D3" s="1">
        <v>64</v>
      </c>
      <c r="E3" s="1">
        <v>18</v>
      </c>
      <c r="F3" s="1" t="s">
        <v>31</v>
      </c>
      <c r="G3" s="1">
        <v>3951</v>
      </c>
      <c r="H3" s="1">
        <v>9999</v>
      </c>
      <c r="I3" s="1">
        <v>3652</v>
      </c>
      <c r="J3" s="1">
        <v>7444</v>
      </c>
      <c r="K3" s="1" t="s">
        <v>32</v>
      </c>
      <c r="L3" s="1">
        <v>1303</v>
      </c>
      <c r="M3" s="1">
        <v>3401</v>
      </c>
      <c r="N3" s="1" t="s">
        <v>33</v>
      </c>
      <c r="O3" s="1">
        <v>1392</v>
      </c>
      <c r="P3" s="1">
        <v>1793</v>
      </c>
      <c r="Q3" s="1" t="s">
        <v>34</v>
      </c>
      <c r="R3" s="1">
        <v>917</v>
      </c>
      <c r="S3" s="1">
        <v>2806</v>
      </c>
      <c r="T3" s="1">
        <v>3723</v>
      </c>
      <c r="U3" s="1">
        <v>2304</v>
      </c>
      <c r="V3" s="1">
        <v>1082</v>
      </c>
      <c r="W3" s="1">
        <v>670</v>
      </c>
      <c r="X3" s="1">
        <v>350</v>
      </c>
      <c r="Y3" s="1">
        <v>361</v>
      </c>
      <c r="Z3" s="1">
        <v>1487</v>
      </c>
      <c r="AA3" s="1">
        <v>1553</v>
      </c>
      <c r="AB3" s="1">
        <v>782</v>
      </c>
    </row>
    <row r="4" spans="1:28" x14ac:dyDescent="0.3">
      <c r="A4" s="1">
        <v>3</v>
      </c>
      <c r="B4" s="1" t="s">
        <v>124</v>
      </c>
      <c r="C4" s="1">
        <v>82</v>
      </c>
      <c r="D4" s="1">
        <v>61</v>
      </c>
      <c r="E4" s="1">
        <v>21</v>
      </c>
      <c r="F4" s="1" t="s">
        <v>35</v>
      </c>
      <c r="G4" s="1">
        <v>3966</v>
      </c>
      <c r="H4" s="1">
        <v>9534</v>
      </c>
      <c r="I4" s="1">
        <v>3413</v>
      </c>
      <c r="J4" s="1">
        <v>7382</v>
      </c>
      <c r="K4" s="1" t="s">
        <v>36</v>
      </c>
      <c r="L4" s="1">
        <v>1457</v>
      </c>
      <c r="M4" s="1">
        <v>3955</v>
      </c>
      <c r="N4" s="1" t="s">
        <v>37</v>
      </c>
      <c r="O4" s="1">
        <v>1251</v>
      </c>
      <c r="P4" s="1">
        <v>1565</v>
      </c>
      <c r="Q4" s="1" t="s">
        <v>38</v>
      </c>
      <c r="R4" s="1">
        <v>933</v>
      </c>
      <c r="S4" s="1">
        <v>2783</v>
      </c>
      <c r="T4" s="1">
        <v>3716</v>
      </c>
      <c r="U4" s="1">
        <v>2144</v>
      </c>
      <c r="V4" s="1">
        <v>973</v>
      </c>
      <c r="W4" s="1">
        <v>589</v>
      </c>
      <c r="X4" s="1">
        <v>452</v>
      </c>
      <c r="Y4" s="1">
        <v>295</v>
      </c>
      <c r="Z4" s="1">
        <v>1303</v>
      </c>
      <c r="AA4" s="1">
        <v>1438</v>
      </c>
      <c r="AB4" s="1">
        <v>747</v>
      </c>
    </row>
    <row r="5" spans="1:28" x14ac:dyDescent="0.3">
      <c r="A5" s="1">
        <v>4</v>
      </c>
      <c r="B5" s="1" t="s">
        <v>125</v>
      </c>
      <c r="C5" s="1">
        <v>82</v>
      </c>
      <c r="D5" s="1">
        <v>52</v>
      </c>
      <c r="E5" s="1">
        <v>30</v>
      </c>
      <c r="F5" s="1" t="s">
        <v>39</v>
      </c>
      <c r="G5" s="1">
        <v>3956</v>
      </c>
      <c r="H5" s="1">
        <v>9372</v>
      </c>
      <c r="I5" s="1">
        <v>3484</v>
      </c>
      <c r="J5" s="1">
        <v>7659</v>
      </c>
      <c r="K5" s="1" t="s">
        <v>40</v>
      </c>
      <c r="L5" s="1">
        <v>1038</v>
      </c>
      <c r="M5" s="1">
        <v>2938</v>
      </c>
      <c r="N5" s="1" t="s">
        <v>41</v>
      </c>
      <c r="O5" s="1">
        <v>1366</v>
      </c>
      <c r="P5" s="1">
        <v>1851</v>
      </c>
      <c r="Q5" s="1" t="s">
        <v>42</v>
      </c>
      <c r="R5" s="1">
        <v>1200</v>
      </c>
      <c r="S5" s="1">
        <v>2774</v>
      </c>
      <c r="T5" s="1">
        <v>3974</v>
      </c>
      <c r="U5" s="1">
        <v>1914</v>
      </c>
      <c r="V5" s="1">
        <v>1139</v>
      </c>
      <c r="W5" s="1">
        <v>689</v>
      </c>
      <c r="X5" s="1">
        <v>411</v>
      </c>
      <c r="Y5" s="1">
        <v>467</v>
      </c>
      <c r="Z5" s="1">
        <v>1557</v>
      </c>
      <c r="AA5" s="1">
        <v>1577</v>
      </c>
      <c r="AB5" s="1">
        <v>370</v>
      </c>
    </row>
    <row r="6" spans="1:28" x14ac:dyDescent="0.3">
      <c r="A6" s="1">
        <v>5</v>
      </c>
      <c r="B6" s="1" t="s">
        <v>126</v>
      </c>
      <c r="C6" s="1">
        <v>82</v>
      </c>
      <c r="D6" s="1">
        <v>51</v>
      </c>
      <c r="E6" s="1">
        <v>31</v>
      </c>
      <c r="F6" s="1" t="s">
        <v>43</v>
      </c>
      <c r="G6" s="1">
        <v>3976</v>
      </c>
      <c r="H6" s="1">
        <v>9494</v>
      </c>
      <c r="I6" s="1">
        <v>3553</v>
      </c>
      <c r="J6" s="1">
        <v>7315</v>
      </c>
      <c r="K6" s="1" t="s">
        <v>44</v>
      </c>
      <c r="L6" s="1">
        <v>1031</v>
      </c>
      <c r="M6" s="1">
        <v>2794</v>
      </c>
      <c r="N6" s="1" t="s">
        <v>45</v>
      </c>
      <c r="O6" s="1">
        <v>1357</v>
      </c>
      <c r="P6" s="1">
        <v>1696</v>
      </c>
      <c r="Q6" s="1" t="s">
        <v>46</v>
      </c>
      <c r="R6" s="1">
        <v>890</v>
      </c>
      <c r="S6" s="1">
        <v>2607</v>
      </c>
      <c r="T6" s="1">
        <v>3497</v>
      </c>
      <c r="U6" s="1">
        <v>2254</v>
      </c>
      <c r="V6" s="1">
        <v>1088</v>
      </c>
      <c r="W6" s="1">
        <v>671</v>
      </c>
      <c r="X6" s="1">
        <v>324</v>
      </c>
      <c r="Y6" s="1">
        <v>406</v>
      </c>
      <c r="Z6" s="1">
        <v>1407</v>
      </c>
      <c r="AA6" s="1">
        <v>1554</v>
      </c>
      <c r="AB6" s="1">
        <v>336</v>
      </c>
    </row>
    <row r="7" spans="1:28" x14ac:dyDescent="0.3">
      <c r="A7" s="1">
        <v>6</v>
      </c>
      <c r="B7" s="1" t="s">
        <v>127</v>
      </c>
      <c r="C7" s="1">
        <v>82</v>
      </c>
      <c r="D7" s="1">
        <v>50</v>
      </c>
      <c r="E7" s="1">
        <v>32</v>
      </c>
      <c r="F7" s="1" t="s">
        <v>47</v>
      </c>
      <c r="G7" s="1">
        <v>3971</v>
      </c>
      <c r="H7" s="1">
        <v>9902</v>
      </c>
      <c r="I7" s="1">
        <v>3724</v>
      </c>
      <c r="J7" s="1">
        <v>7360</v>
      </c>
      <c r="K7" s="1" t="s">
        <v>48</v>
      </c>
      <c r="L7" s="1">
        <v>984</v>
      </c>
      <c r="M7" s="1">
        <v>2619</v>
      </c>
      <c r="N7" s="1" t="s">
        <v>49</v>
      </c>
      <c r="O7" s="1">
        <v>1470</v>
      </c>
      <c r="P7" s="1">
        <v>1909</v>
      </c>
      <c r="Q7" s="1" t="s">
        <v>50</v>
      </c>
      <c r="R7" s="1">
        <v>919</v>
      </c>
      <c r="S7" s="1">
        <v>2832</v>
      </c>
      <c r="T7" s="1">
        <v>3751</v>
      </c>
      <c r="U7" s="1">
        <v>2542</v>
      </c>
      <c r="V7" s="1">
        <v>1169</v>
      </c>
      <c r="W7" s="1">
        <v>656</v>
      </c>
      <c r="X7" s="1">
        <v>402</v>
      </c>
      <c r="Y7" s="1">
        <v>420</v>
      </c>
      <c r="Z7" s="1">
        <v>1444</v>
      </c>
      <c r="AA7" s="1">
        <v>1562</v>
      </c>
      <c r="AB7" s="1">
        <v>319</v>
      </c>
    </row>
    <row r="8" spans="1:28" x14ac:dyDescent="0.3">
      <c r="A8" s="1">
        <v>6</v>
      </c>
      <c r="B8" s="1" t="s">
        <v>128</v>
      </c>
      <c r="C8" s="1">
        <v>82</v>
      </c>
      <c r="D8" s="1">
        <v>50</v>
      </c>
      <c r="E8" s="1">
        <v>32</v>
      </c>
      <c r="F8" s="1" t="s">
        <v>47</v>
      </c>
      <c r="G8" s="1">
        <v>3971</v>
      </c>
      <c r="H8" s="1">
        <v>9624</v>
      </c>
      <c r="I8" s="1">
        <v>3574</v>
      </c>
      <c r="J8" s="1">
        <v>7326</v>
      </c>
      <c r="K8" s="1" t="s">
        <v>51</v>
      </c>
      <c r="L8" s="1">
        <v>1081</v>
      </c>
      <c r="M8" s="1">
        <v>2934</v>
      </c>
      <c r="N8" s="1" t="s">
        <v>37</v>
      </c>
      <c r="O8" s="1">
        <v>1395</v>
      </c>
      <c r="P8" s="1">
        <v>1768</v>
      </c>
      <c r="Q8" s="1" t="s">
        <v>52</v>
      </c>
      <c r="R8" s="1">
        <v>752</v>
      </c>
      <c r="S8" s="1">
        <v>2678</v>
      </c>
      <c r="T8" s="1">
        <v>3430</v>
      </c>
      <c r="U8" s="1">
        <v>2398</v>
      </c>
      <c r="V8" s="1">
        <v>1082</v>
      </c>
      <c r="W8" s="1">
        <v>694</v>
      </c>
      <c r="X8" s="1">
        <v>448</v>
      </c>
      <c r="Y8" s="1">
        <v>366</v>
      </c>
      <c r="Z8" s="1">
        <v>1533</v>
      </c>
      <c r="AA8" s="1">
        <v>1541</v>
      </c>
      <c r="AB8" s="1">
        <v>183</v>
      </c>
    </row>
    <row r="9" spans="1:28" x14ac:dyDescent="0.3">
      <c r="A9" s="1">
        <v>6</v>
      </c>
      <c r="B9" s="1" t="s">
        <v>129</v>
      </c>
      <c r="C9" s="1">
        <v>82</v>
      </c>
      <c r="D9" s="1">
        <v>50</v>
      </c>
      <c r="E9" s="1">
        <v>32</v>
      </c>
      <c r="F9" s="1" t="s">
        <v>47</v>
      </c>
      <c r="G9" s="1">
        <v>3961</v>
      </c>
      <c r="H9" s="1">
        <v>9256</v>
      </c>
      <c r="I9" s="1">
        <v>3409</v>
      </c>
      <c r="J9" s="1">
        <v>7075</v>
      </c>
      <c r="K9" s="1" t="s">
        <v>28</v>
      </c>
      <c r="L9" s="1">
        <v>1022</v>
      </c>
      <c r="M9" s="1">
        <v>2738</v>
      </c>
      <c r="N9" s="1" t="s">
        <v>53</v>
      </c>
      <c r="O9" s="1">
        <v>1416</v>
      </c>
      <c r="P9" s="1">
        <v>1776</v>
      </c>
      <c r="Q9" s="1" t="s">
        <v>54</v>
      </c>
      <c r="R9" s="1">
        <v>841</v>
      </c>
      <c r="S9" s="1">
        <v>2750</v>
      </c>
      <c r="T9" s="1">
        <v>3591</v>
      </c>
      <c r="U9" s="1">
        <v>2064</v>
      </c>
      <c r="V9" s="1">
        <v>1220</v>
      </c>
      <c r="W9" s="1">
        <v>773</v>
      </c>
      <c r="X9" s="1">
        <v>370</v>
      </c>
      <c r="Y9" s="1">
        <v>352</v>
      </c>
      <c r="Z9" s="1">
        <v>1503</v>
      </c>
      <c r="AA9" s="1">
        <v>1458</v>
      </c>
      <c r="AB9" s="1">
        <v>382</v>
      </c>
    </row>
    <row r="10" spans="1:28" x14ac:dyDescent="0.3">
      <c r="A10" s="1">
        <v>6</v>
      </c>
      <c r="B10" s="1" t="s">
        <v>130</v>
      </c>
      <c r="C10" s="1">
        <v>82</v>
      </c>
      <c r="D10" s="1">
        <v>50</v>
      </c>
      <c r="E10" s="1">
        <v>32</v>
      </c>
      <c r="F10" s="1" t="s">
        <v>47</v>
      </c>
      <c r="G10" s="1">
        <v>3946</v>
      </c>
      <c r="H10" s="1">
        <v>9298</v>
      </c>
      <c r="I10" s="1">
        <v>3356</v>
      </c>
      <c r="J10" s="1">
        <v>7007</v>
      </c>
      <c r="K10" s="1" t="s">
        <v>55</v>
      </c>
      <c r="L10" s="1">
        <v>1092</v>
      </c>
      <c r="M10" s="1">
        <v>2981</v>
      </c>
      <c r="N10" s="1" t="s">
        <v>56</v>
      </c>
      <c r="O10" s="1">
        <v>1494</v>
      </c>
      <c r="P10" s="1">
        <v>1902</v>
      </c>
      <c r="Q10" s="1" t="s">
        <v>57</v>
      </c>
      <c r="R10" s="1">
        <v>792</v>
      </c>
      <c r="S10" s="1">
        <v>2687</v>
      </c>
      <c r="T10" s="1">
        <v>3479</v>
      </c>
      <c r="U10" s="1">
        <v>2131</v>
      </c>
      <c r="V10" s="1">
        <v>1145</v>
      </c>
      <c r="W10" s="1">
        <v>633</v>
      </c>
      <c r="X10" s="1">
        <v>367</v>
      </c>
      <c r="Y10" s="1">
        <v>344</v>
      </c>
      <c r="Z10" s="1">
        <v>1415</v>
      </c>
      <c r="AA10" s="1">
        <v>1576</v>
      </c>
      <c r="AB10" s="1">
        <v>100</v>
      </c>
    </row>
    <row r="11" spans="1:28" x14ac:dyDescent="0.3">
      <c r="A11" s="1">
        <v>10</v>
      </c>
      <c r="B11" s="1" t="s">
        <v>131</v>
      </c>
      <c r="C11" s="1">
        <v>82</v>
      </c>
      <c r="D11" s="1">
        <v>49</v>
      </c>
      <c r="E11" s="1">
        <v>33</v>
      </c>
      <c r="F11" s="1" t="s">
        <v>58</v>
      </c>
      <c r="G11" s="1">
        <v>3966</v>
      </c>
      <c r="H11" s="1">
        <v>9372</v>
      </c>
      <c r="I11" s="1">
        <v>3364</v>
      </c>
      <c r="J11" s="1">
        <v>7182</v>
      </c>
      <c r="K11" s="1" t="s">
        <v>59</v>
      </c>
      <c r="L11" s="1">
        <v>1233</v>
      </c>
      <c r="M11" s="1">
        <v>3269</v>
      </c>
      <c r="N11" s="1" t="s">
        <v>60</v>
      </c>
      <c r="O11" s="1">
        <v>1411</v>
      </c>
      <c r="P11" s="1">
        <v>1789</v>
      </c>
      <c r="Q11" s="1" t="s">
        <v>52</v>
      </c>
      <c r="R11" s="1">
        <v>908</v>
      </c>
      <c r="S11" s="1">
        <v>2726</v>
      </c>
      <c r="T11" s="1">
        <v>3634</v>
      </c>
      <c r="U11" s="1">
        <v>2142</v>
      </c>
      <c r="V11" s="1">
        <v>1186</v>
      </c>
      <c r="W11" s="1">
        <v>654</v>
      </c>
      <c r="X11" s="1">
        <v>406</v>
      </c>
      <c r="Y11" s="1">
        <v>368</v>
      </c>
      <c r="Z11" s="1">
        <v>1498</v>
      </c>
      <c r="AA11" s="1">
        <v>1571</v>
      </c>
      <c r="AB11" s="1">
        <v>410</v>
      </c>
    </row>
    <row r="12" spans="1:28" x14ac:dyDescent="0.3">
      <c r="A12" s="1">
        <v>11</v>
      </c>
      <c r="B12" s="1" t="s">
        <v>132</v>
      </c>
      <c r="C12" s="1">
        <v>82</v>
      </c>
      <c r="D12" s="1">
        <v>48</v>
      </c>
      <c r="E12" s="1">
        <v>34</v>
      </c>
      <c r="F12" s="1" t="s">
        <v>61</v>
      </c>
      <c r="G12" s="1">
        <v>3946</v>
      </c>
      <c r="H12" s="1">
        <v>9331</v>
      </c>
      <c r="I12" s="1">
        <v>3342</v>
      </c>
      <c r="J12" s="1">
        <v>7412</v>
      </c>
      <c r="K12" s="1" t="s">
        <v>62</v>
      </c>
      <c r="L12" s="1">
        <v>1264</v>
      </c>
      <c r="M12" s="1">
        <v>3475</v>
      </c>
      <c r="N12" s="1" t="s">
        <v>63</v>
      </c>
      <c r="O12" s="1">
        <v>1383</v>
      </c>
      <c r="P12" s="1">
        <v>1811</v>
      </c>
      <c r="Q12" s="1" t="s">
        <v>64</v>
      </c>
      <c r="R12" s="1">
        <v>1029</v>
      </c>
      <c r="S12" s="1">
        <v>2692</v>
      </c>
      <c r="T12" s="1">
        <v>3721</v>
      </c>
      <c r="U12" s="1">
        <v>2386</v>
      </c>
      <c r="V12" s="1">
        <v>1152</v>
      </c>
      <c r="W12" s="1">
        <v>771</v>
      </c>
      <c r="X12" s="1">
        <v>391</v>
      </c>
      <c r="Y12" s="1">
        <v>441</v>
      </c>
      <c r="Z12" s="1">
        <v>1571</v>
      </c>
      <c r="AA12" s="1">
        <v>1523</v>
      </c>
      <c r="AB12" s="1">
        <v>271</v>
      </c>
    </row>
    <row r="13" spans="1:28" x14ac:dyDescent="0.3">
      <c r="A13" s="1">
        <v>11</v>
      </c>
      <c r="B13" s="1" t="s">
        <v>133</v>
      </c>
      <c r="C13" s="1">
        <v>82</v>
      </c>
      <c r="D13" s="1">
        <v>48</v>
      </c>
      <c r="E13" s="1">
        <v>34</v>
      </c>
      <c r="F13" s="1" t="s">
        <v>61</v>
      </c>
      <c r="G13" s="1">
        <v>3941</v>
      </c>
      <c r="H13" s="1">
        <v>9980</v>
      </c>
      <c r="I13" s="1">
        <v>3670</v>
      </c>
      <c r="J13" s="1">
        <v>7654</v>
      </c>
      <c r="K13" s="1" t="s">
        <v>55</v>
      </c>
      <c r="L13" s="1">
        <v>1141</v>
      </c>
      <c r="M13" s="1">
        <v>3106</v>
      </c>
      <c r="N13" s="1" t="s">
        <v>65</v>
      </c>
      <c r="O13" s="1">
        <v>1499</v>
      </c>
      <c r="P13" s="1">
        <v>1908</v>
      </c>
      <c r="Q13" s="1" t="s">
        <v>66</v>
      </c>
      <c r="R13" s="1">
        <v>1056</v>
      </c>
      <c r="S13" s="1">
        <v>2819</v>
      </c>
      <c r="T13" s="1">
        <v>3875</v>
      </c>
      <c r="U13" s="1">
        <v>2330</v>
      </c>
      <c r="V13" s="1">
        <v>1285</v>
      </c>
      <c r="W13" s="1">
        <v>726</v>
      </c>
      <c r="X13" s="1">
        <v>462</v>
      </c>
      <c r="Y13" s="1">
        <v>450</v>
      </c>
      <c r="Z13" s="1">
        <v>1711</v>
      </c>
      <c r="AA13" s="1">
        <v>1653</v>
      </c>
      <c r="AB13" s="1">
        <v>398</v>
      </c>
    </row>
    <row r="14" spans="1:28" x14ac:dyDescent="0.3">
      <c r="A14" s="1">
        <v>11</v>
      </c>
      <c r="B14" s="1" t="s">
        <v>134</v>
      </c>
      <c r="C14" s="1">
        <v>82</v>
      </c>
      <c r="D14" s="1">
        <v>48</v>
      </c>
      <c r="E14" s="1">
        <v>34</v>
      </c>
      <c r="F14" s="1" t="s">
        <v>61</v>
      </c>
      <c r="G14" s="1">
        <v>3951</v>
      </c>
      <c r="H14" s="1">
        <v>9472</v>
      </c>
      <c r="I14" s="1">
        <v>3445</v>
      </c>
      <c r="J14" s="1">
        <v>7082</v>
      </c>
      <c r="K14" s="1" t="s">
        <v>44</v>
      </c>
      <c r="L14" s="1">
        <v>1161</v>
      </c>
      <c r="M14" s="1">
        <v>3003</v>
      </c>
      <c r="N14" s="1" t="s">
        <v>67</v>
      </c>
      <c r="O14" s="1">
        <v>1421</v>
      </c>
      <c r="P14" s="1">
        <v>1895</v>
      </c>
      <c r="Q14" s="1" t="s">
        <v>68</v>
      </c>
      <c r="R14" s="1">
        <v>674</v>
      </c>
      <c r="S14" s="1">
        <v>2882</v>
      </c>
      <c r="T14" s="1">
        <v>3556</v>
      </c>
      <c r="U14" s="1">
        <v>2090</v>
      </c>
      <c r="V14" s="1">
        <v>1097</v>
      </c>
      <c r="W14" s="1">
        <v>601</v>
      </c>
      <c r="X14" s="1">
        <v>384</v>
      </c>
      <c r="Y14" s="1">
        <v>315</v>
      </c>
      <c r="Z14" s="1">
        <v>1469</v>
      </c>
      <c r="AA14" s="1">
        <v>1552</v>
      </c>
      <c r="AB14" s="1">
        <v>203</v>
      </c>
    </row>
    <row r="15" spans="1:28" x14ac:dyDescent="0.3">
      <c r="A15" s="1">
        <v>14</v>
      </c>
      <c r="B15" s="1" t="s">
        <v>135</v>
      </c>
      <c r="C15" s="1">
        <v>82</v>
      </c>
      <c r="D15" s="1">
        <v>44</v>
      </c>
      <c r="E15" s="1">
        <v>38</v>
      </c>
      <c r="F15" s="1" t="s">
        <v>69</v>
      </c>
      <c r="G15" s="1">
        <v>3961</v>
      </c>
      <c r="H15" s="1">
        <v>9471</v>
      </c>
      <c r="I15" s="1">
        <v>3503</v>
      </c>
      <c r="J15" s="1">
        <v>7363</v>
      </c>
      <c r="K15" s="1" t="s">
        <v>70</v>
      </c>
      <c r="L15" s="1">
        <v>1051</v>
      </c>
      <c r="M15" s="1">
        <v>2901</v>
      </c>
      <c r="N15" s="1" t="s">
        <v>71</v>
      </c>
      <c r="O15" s="1">
        <v>1414</v>
      </c>
      <c r="P15" s="1">
        <v>1826</v>
      </c>
      <c r="Q15" s="1" t="s">
        <v>72</v>
      </c>
      <c r="R15" s="1">
        <v>931</v>
      </c>
      <c r="S15" s="1">
        <v>2739</v>
      </c>
      <c r="T15" s="1">
        <v>3670</v>
      </c>
      <c r="U15" s="1">
        <v>2165</v>
      </c>
      <c r="V15" s="1">
        <v>1219</v>
      </c>
      <c r="W15" s="1">
        <v>652</v>
      </c>
      <c r="X15" s="1">
        <v>431</v>
      </c>
      <c r="Y15" s="1">
        <v>413</v>
      </c>
      <c r="Z15" s="1">
        <v>1695</v>
      </c>
      <c r="AA15" s="1">
        <v>1551</v>
      </c>
      <c r="AB15" s="1">
        <v>156</v>
      </c>
    </row>
    <row r="16" spans="1:28" x14ac:dyDescent="0.3">
      <c r="A16" s="1">
        <v>15</v>
      </c>
      <c r="B16" s="1" t="s">
        <v>136</v>
      </c>
      <c r="C16" s="1">
        <v>82</v>
      </c>
      <c r="D16" s="1">
        <v>41</v>
      </c>
      <c r="E16" s="1">
        <v>41</v>
      </c>
      <c r="F16" s="1" t="s">
        <v>73</v>
      </c>
      <c r="G16" s="1">
        <v>3946</v>
      </c>
      <c r="H16" s="1">
        <v>8645</v>
      </c>
      <c r="I16" s="1">
        <v>3130</v>
      </c>
      <c r="J16" s="1">
        <v>7034</v>
      </c>
      <c r="K16" s="1" t="s">
        <v>74</v>
      </c>
      <c r="L16" s="1">
        <v>921</v>
      </c>
      <c r="M16" s="1">
        <v>2892</v>
      </c>
      <c r="N16" s="1" t="s">
        <v>75</v>
      </c>
      <c r="O16" s="1">
        <v>1464</v>
      </c>
      <c r="P16" s="1">
        <v>1890</v>
      </c>
      <c r="Q16" s="1" t="s">
        <v>76</v>
      </c>
      <c r="R16" s="1">
        <v>914</v>
      </c>
      <c r="S16" s="1">
        <v>2517</v>
      </c>
      <c r="T16" s="1">
        <v>3431</v>
      </c>
      <c r="U16" s="1">
        <v>1887</v>
      </c>
      <c r="V16" s="1">
        <v>1165</v>
      </c>
      <c r="W16" s="1">
        <v>729</v>
      </c>
      <c r="X16" s="1">
        <v>488</v>
      </c>
      <c r="Y16" s="1">
        <v>361</v>
      </c>
      <c r="Z16" s="1">
        <v>1648</v>
      </c>
      <c r="AA16" s="1">
        <v>1666</v>
      </c>
      <c r="AB16" s="1">
        <v>-10</v>
      </c>
    </row>
    <row r="17" spans="1:28" x14ac:dyDescent="0.3">
      <c r="A17" s="1">
        <v>16</v>
      </c>
      <c r="B17" s="1" t="s">
        <v>137</v>
      </c>
      <c r="C17" s="1">
        <v>82</v>
      </c>
      <c r="D17" s="1">
        <v>40</v>
      </c>
      <c r="E17" s="1">
        <v>42</v>
      </c>
      <c r="F17" s="1" t="s">
        <v>77</v>
      </c>
      <c r="G17" s="1">
        <v>3956</v>
      </c>
      <c r="H17" s="1">
        <v>9691</v>
      </c>
      <c r="I17" s="1">
        <v>3556</v>
      </c>
      <c r="J17" s="1">
        <v>7528</v>
      </c>
      <c r="K17" s="1" t="s">
        <v>78</v>
      </c>
      <c r="L17" s="1">
        <v>1107</v>
      </c>
      <c r="M17" s="1">
        <v>3089</v>
      </c>
      <c r="N17" s="1" t="s">
        <v>79</v>
      </c>
      <c r="O17" s="1">
        <v>1472</v>
      </c>
      <c r="P17" s="1">
        <v>1900</v>
      </c>
      <c r="Q17" s="1" t="s">
        <v>76</v>
      </c>
      <c r="R17" s="1">
        <v>974</v>
      </c>
      <c r="S17" s="1">
        <v>2675</v>
      </c>
      <c r="T17" s="1">
        <v>3649</v>
      </c>
      <c r="U17" s="1">
        <v>2426</v>
      </c>
      <c r="V17" s="1">
        <v>1273</v>
      </c>
      <c r="W17" s="1">
        <v>798</v>
      </c>
      <c r="X17" s="1">
        <v>419</v>
      </c>
      <c r="Y17" s="1">
        <v>403</v>
      </c>
      <c r="Z17" s="1">
        <v>1564</v>
      </c>
      <c r="AA17" s="1">
        <v>1563</v>
      </c>
      <c r="AB17" s="1">
        <v>-93</v>
      </c>
    </row>
    <row r="18" spans="1:28" x14ac:dyDescent="0.3">
      <c r="A18" s="1">
        <v>16</v>
      </c>
      <c r="B18" s="1" t="s">
        <v>138</v>
      </c>
      <c r="C18" s="1">
        <v>82</v>
      </c>
      <c r="D18" s="1">
        <v>40</v>
      </c>
      <c r="E18" s="1">
        <v>42</v>
      </c>
      <c r="F18" s="1" t="s">
        <v>77</v>
      </c>
      <c r="G18" s="1">
        <v>3976</v>
      </c>
      <c r="H18" s="1">
        <v>9490</v>
      </c>
      <c r="I18" s="1">
        <v>3529</v>
      </c>
      <c r="J18" s="1">
        <v>7385</v>
      </c>
      <c r="K18" s="1" t="s">
        <v>80</v>
      </c>
      <c r="L18" s="1">
        <v>1032</v>
      </c>
      <c r="M18" s="1">
        <v>2887</v>
      </c>
      <c r="N18" s="1" t="s">
        <v>81</v>
      </c>
      <c r="O18" s="1">
        <v>1400</v>
      </c>
      <c r="P18" s="1">
        <v>1738</v>
      </c>
      <c r="Q18" s="1" t="s">
        <v>82</v>
      </c>
      <c r="R18" s="1">
        <v>901</v>
      </c>
      <c r="S18" s="1">
        <v>2723</v>
      </c>
      <c r="T18" s="1">
        <v>3624</v>
      </c>
      <c r="U18" s="1">
        <v>2169</v>
      </c>
      <c r="V18" s="1">
        <v>1092</v>
      </c>
      <c r="W18" s="1">
        <v>620</v>
      </c>
      <c r="X18" s="1">
        <v>357</v>
      </c>
      <c r="Y18" s="1">
        <v>350</v>
      </c>
      <c r="Z18" s="1">
        <v>1548</v>
      </c>
      <c r="AA18" s="1">
        <v>1515</v>
      </c>
      <c r="AB18" s="1">
        <v>39</v>
      </c>
    </row>
    <row r="19" spans="1:28" x14ac:dyDescent="0.3">
      <c r="A19" s="1">
        <v>18</v>
      </c>
      <c r="B19" s="1" t="s">
        <v>139</v>
      </c>
      <c r="C19" s="1">
        <v>82</v>
      </c>
      <c r="D19" s="1">
        <v>39</v>
      </c>
      <c r="E19" s="1">
        <v>43</v>
      </c>
      <c r="F19" s="1" t="s">
        <v>83</v>
      </c>
      <c r="G19" s="1">
        <v>3951</v>
      </c>
      <c r="H19" s="1">
        <v>9660</v>
      </c>
      <c r="I19" s="1">
        <v>3543</v>
      </c>
      <c r="J19" s="1">
        <v>7545</v>
      </c>
      <c r="K19" s="1" t="s">
        <v>84</v>
      </c>
      <c r="L19" s="1">
        <v>1266</v>
      </c>
      <c r="M19" s="1">
        <v>3447</v>
      </c>
      <c r="N19" s="1" t="s">
        <v>65</v>
      </c>
      <c r="O19" s="1">
        <v>1308</v>
      </c>
      <c r="P19" s="1">
        <v>1617</v>
      </c>
      <c r="Q19" s="1" t="s">
        <v>85</v>
      </c>
      <c r="R19" s="1">
        <v>825</v>
      </c>
      <c r="S19" s="1">
        <v>2935</v>
      </c>
      <c r="T19" s="1">
        <v>3760</v>
      </c>
      <c r="U19" s="1">
        <v>2383</v>
      </c>
      <c r="V19" s="1">
        <v>1203</v>
      </c>
      <c r="W19" s="1">
        <v>621</v>
      </c>
      <c r="X19" s="1">
        <v>386</v>
      </c>
      <c r="Y19" s="1">
        <v>417</v>
      </c>
      <c r="Z19" s="1">
        <v>1444</v>
      </c>
      <c r="AA19" s="1">
        <v>1374</v>
      </c>
      <c r="AB19" s="1">
        <v>-128</v>
      </c>
    </row>
    <row r="20" spans="1:28" x14ac:dyDescent="0.3">
      <c r="A20" s="1">
        <v>18</v>
      </c>
      <c r="B20" s="1" t="s">
        <v>140</v>
      </c>
      <c r="C20" s="1">
        <v>82</v>
      </c>
      <c r="D20" s="1">
        <v>39</v>
      </c>
      <c r="E20" s="1">
        <v>43</v>
      </c>
      <c r="F20" s="1" t="s">
        <v>83</v>
      </c>
      <c r="G20" s="1">
        <v>3946</v>
      </c>
      <c r="H20" s="1">
        <v>9364</v>
      </c>
      <c r="I20" s="1">
        <v>3443</v>
      </c>
      <c r="J20" s="1">
        <v>7194</v>
      </c>
      <c r="K20" s="1" t="s">
        <v>55</v>
      </c>
      <c r="L20" s="1">
        <v>1020</v>
      </c>
      <c r="M20" s="1">
        <v>2801</v>
      </c>
      <c r="N20" s="1" t="s">
        <v>63</v>
      </c>
      <c r="O20" s="1">
        <v>1458</v>
      </c>
      <c r="P20" s="1">
        <v>1894</v>
      </c>
      <c r="Q20" s="1" t="s">
        <v>50</v>
      </c>
      <c r="R20" s="1">
        <v>828</v>
      </c>
      <c r="S20" s="1">
        <v>2702</v>
      </c>
      <c r="T20" s="1">
        <v>3530</v>
      </c>
      <c r="U20" s="1">
        <v>2070</v>
      </c>
      <c r="V20" s="1">
        <v>1151</v>
      </c>
      <c r="W20" s="1">
        <v>636</v>
      </c>
      <c r="X20" s="1">
        <v>445</v>
      </c>
      <c r="Y20" s="1">
        <v>375</v>
      </c>
      <c r="Z20" s="1">
        <v>1458</v>
      </c>
      <c r="AA20" s="1">
        <v>1532</v>
      </c>
      <c r="AB20" s="1">
        <v>-98</v>
      </c>
    </row>
    <row r="21" spans="1:28" x14ac:dyDescent="0.3">
      <c r="A21" s="1">
        <v>20</v>
      </c>
      <c r="B21" s="1" t="s">
        <v>141</v>
      </c>
      <c r="C21" s="1">
        <v>82</v>
      </c>
      <c r="D21" s="1">
        <v>37</v>
      </c>
      <c r="E21" s="1">
        <v>45</v>
      </c>
      <c r="F21" s="1" t="s">
        <v>86</v>
      </c>
      <c r="G21" s="1">
        <v>3986</v>
      </c>
      <c r="H21" s="1">
        <v>9069</v>
      </c>
      <c r="I21" s="1">
        <v>3318</v>
      </c>
      <c r="J21" s="1">
        <v>7138</v>
      </c>
      <c r="K21" s="1" t="s">
        <v>87</v>
      </c>
      <c r="L21" s="1">
        <v>1124</v>
      </c>
      <c r="M21" s="1">
        <v>3060</v>
      </c>
      <c r="N21" s="1" t="s">
        <v>65</v>
      </c>
      <c r="O21" s="1">
        <v>1309</v>
      </c>
      <c r="P21" s="1">
        <v>1654</v>
      </c>
      <c r="Q21" s="1" t="s">
        <v>88</v>
      </c>
      <c r="R21" s="1">
        <v>798</v>
      </c>
      <c r="S21" s="1">
        <v>2760</v>
      </c>
      <c r="T21" s="1">
        <v>3558</v>
      </c>
      <c r="U21" s="1">
        <v>2166</v>
      </c>
      <c r="V21" s="1">
        <v>1114</v>
      </c>
      <c r="W21" s="1">
        <v>668</v>
      </c>
      <c r="X21" s="1">
        <v>314</v>
      </c>
      <c r="Y21" s="1">
        <v>382</v>
      </c>
      <c r="Z21" s="1">
        <v>1275</v>
      </c>
      <c r="AA21" s="1">
        <v>1390</v>
      </c>
      <c r="AB21" s="1">
        <v>46</v>
      </c>
    </row>
    <row r="22" spans="1:28" x14ac:dyDescent="0.3">
      <c r="A22" s="1">
        <v>21</v>
      </c>
      <c r="B22" s="1" t="s">
        <v>142</v>
      </c>
      <c r="C22" s="1">
        <v>82</v>
      </c>
      <c r="D22" s="1">
        <v>36</v>
      </c>
      <c r="E22" s="1">
        <v>46</v>
      </c>
      <c r="F22" s="1" t="s">
        <v>89</v>
      </c>
      <c r="G22" s="1">
        <v>3966</v>
      </c>
      <c r="H22" s="1">
        <v>9317</v>
      </c>
      <c r="I22" s="1">
        <v>3381</v>
      </c>
      <c r="J22" s="1">
        <v>7075</v>
      </c>
      <c r="K22" s="1" t="s">
        <v>80</v>
      </c>
      <c r="L22" s="1">
        <v>1176</v>
      </c>
      <c r="M22" s="1">
        <v>3112</v>
      </c>
      <c r="N22" s="1" t="s">
        <v>90</v>
      </c>
      <c r="O22" s="1">
        <v>1379</v>
      </c>
      <c r="P22" s="1">
        <v>1702</v>
      </c>
      <c r="Q22" s="1" t="s">
        <v>91</v>
      </c>
      <c r="R22" s="1">
        <v>783</v>
      </c>
      <c r="S22" s="1">
        <v>2701</v>
      </c>
      <c r="T22" s="1">
        <v>3484</v>
      </c>
      <c r="U22" s="1">
        <v>2277</v>
      </c>
      <c r="V22" s="1">
        <v>1153</v>
      </c>
      <c r="W22" s="1">
        <v>593</v>
      </c>
      <c r="X22" s="1">
        <v>392</v>
      </c>
      <c r="Y22" s="1">
        <v>329</v>
      </c>
      <c r="Z22" s="1">
        <v>1471</v>
      </c>
      <c r="AA22" s="1">
        <v>1509</v>
      </c>
      <c r="AB22" s="1">
        <v>-246</v>
      </c>
    </row>
    <row r="23" spans="1:28" x14ac:dyDescent="0.3">
      <c r="A23" s="1">
        <v>21</v>
      </c>
      <c r="B23" s="1" t="s">
        <v>143</v>
      </c>
      <c r="C23" s="1">
        <v>82</v>
      </c>
      <c r="D23" s="1">
        <v>36</v>
      </c>
      <c r="E23" s="1">
        <v>46</v>
      </c>
      <c r="F23" s="1" t="s">
        <v>89</v>
      </c>
      <c r="G23" s="1">
        <v>3956</v>
      </c>
      <c r="H23" s="1">
        <v>9093</v>
      </c>
      <c r="I23" s="1">
        <v>3325</v>
      </c>
      <c r="J23" s="1">
        <v>7396</v>
      </c>
      <c r="K23" s="1" t="s">
        <v>92</v>
      </c>
      <c r="L23" s="1">
        <v>1057</v>
      </c>
      <c r="M23" s="1">
        <v>3095</v>
      </c>
      <c r="N23" s="1" t="s">
        <v>93</v>
      </c>
      <c r="O23" s="1">
        <v>1386</v>
      </c>
      <c r="P23" s="1">
        <v>1820</v>
      </c>
      <c r="Q23" s="1" t="s">
        <v>94</v>
      </c>
      <c r="R23" s="1">
        <v>1095</v>
      </c>
      <c r="S23" s="1">
        <v>2576</v>
      </c>
      <c r="T23" s="1">
        <v>3671</v>
      </c>
      <c r="U23" s="1">
        <v>1952</v>
      </c>
      <c r="V23" s="1">
        <v>1309</v>
      </c>
      <c r="W23" s="1">
        <v>678</v>
      </c>
      <c r="X23" s="1">
        <v>433</v>
      </c>
      <c r="Y23" s="1">
        <v>453</v>
      </c>
      <c r="Z23" s="1">
        <v>1558</v>
      </c>
      <c r="AA23" s="1">
        <v>1581</v>
      </c>
      <c r="AB23" s="1">
        <v>-244</v>
      </c>
    </row>
    <row r="24" spans="1:28" x14ac:dyDescent="0.3">
      <c r="A24" s="1">
        <v>23</v>
      </c>
      <c r="B24" s="1" t="s">
        <v>144</v>
      </c>
      <c r="C24" s="1">
        <v>82</v>
      </c>
      <c r="D24" s="1">
        <v>34</v>
      </c>
      <c r="E24" s="1">
        <v>48</v>
      </c>
      <c r="F24" s="1" t="s">
        <v>95</v>
      </c>
      <c r="G24" s="1">
        <v>3946</v>
      </c>
      <c r="H24" s="1">
        <v>9342</v>
      </c>
      <c r="I24" s="1">
        <v>3426</v>
      </c>
      <c r="J24" s="1">
        <v>7362</v>
      </c>
      <c r="K24" s="1" t="s">
        <v>87</v>
      </c>
      <c r="L24" s="1">
        <v>1158</v>
      </c>
      <c r="M24" s="1">
        <v>3246</v>
      </c>
      <c r="N24" s="1" t="s">
        <v>81</v>
      </c>
      <c r="O24" s="1">
        <v>1332</v>
      </c>
      <c r="P24" s="1">
        <v>1721</v>
      </c>
      <c r="Q24" s="1" t="s">
        <v>72</v>
      </c>
      <c r="R24" s="1">
        <v>896</v>
      </c>
      <c r="S24" s="1">
        <v>2685</v>
      </c>
      <c r="T24" s="1">
        <v>3581</v>
      </c>
      <c r="U24" s="1">
        <v>2348</v>
      </c>
      <c r="V24" s="1">
        <v>1138</v>
      </c>
      <c r="W24" s="1">
        <v>674</v>
      </c>
      <c r="X24" s="1">
        <v>455</v>
      </c>
      <c r="Y24" s="1">
        <v>356</v>
      </c>
      <c r="Z24" s="1">
        <v>1363</v>
      </c>
      <c r="AA24" s="1">
        <v>1428</v>
      </c>
      <c r="AB24" s="1">
        <v>-226</v>
      </c>
    </row>
    <row r="25" spans="1:28" x14ac:dyDescent="0.3">
      <c r="A25" s="1">
        <v>24</v>
      </c>
      <c r="B25" s="1" t="s">
        <v>145</v>
      </c>
      <c r="C25" s="1">
        <v>82</v>
      </c>
      <c r="D25" s="1">
        <v>30</v>
      </c>
      <c r="E25" s="1">
        <v>52</v>
      </c>
      <c r="F25" s="1" t="s">
        <v>96</v>
      </c>
      <c r="G25" s="1">
        <v>3961</v>
      </c>
      <c r="H25" s="1">
        <v>9091</v>
      </c>
      <c r="I25" s="1">
        <v>3414</v>
      </c>
      <c r="J25" s="1">
        <v>7462</v>
      </c>
      <c r="K25" s="1" t="s">
        <v>97</v>
      </c>
      <c r="L25" s="1">
        <v>969</v>
      </c>
      <c r="M25" s="1">
        <v>2786</v>
      </c>
      <c r="N25" s="1" t="s">
        <v>98</v>
      </c>
      <c r="O25" s="1">
        <v>1294</v>
      </c>
      <c r="P25" s="1">
        <v>1729</v>
      </c>
      <c r="Q25" s="1" t="s">
        <v>99</v>
      </c>
      <c r="R25" s="1">
        <v>1034</v>
      </c>
      <c r="S25" s="1">
        <v>2666</v>
      </c>
      <c r="T25" s="1">
        <v>3700</v>
      </c>
      <c r="U25" s="1">
        <v>2340</v>
      </c>
      <c r="V25" s="1">
        <v>1257</v>
      </c>
      <c r="W25" s="1">
        <v>664</v>
      </c>
      <c r="X25" s="1">
        <v>348</v>
      </c>
      <c r="Y25" s="1">
        <v>484</v>
      </c>
      <c r="Z25" s="1">
        <v>1738</v>
      </c>
      <c r="AA25" s="1">
        <v>1484</v>
      </c>
      <c r="AB25" s="1">
        <v>-352</v>
      </c>
    </row>
    <row r="26" spans="1:28" x14ac:dyDescent="0.3">
      <c r="A26" s="1">
        <v>25</v>
      </c>
      <c r="B26" s="1" t="s">
        <v>146</v>
      </c>
      <c r="C26" s="1">
        <v>82</v>
      </c>
      <c r="D26" s="1">
        <v>26</v>
      </c>
      <c r="E26" s="1">
        <v>56</v>
      </c>
      <c r="F26" s="1" t="s">
        <v>100</v>
      </c>
      <c r="G26" s="1">
        <v>3956</v>
      </c>
      <c r="H26" s="1">
        <v>8619</v>
      </c>
      <c r="I26" s="1">
        <v>3086</v>
      </c>
      <c r="J26" s="1">
        <v>7060</v>
      </c>
      <c r="K26" s="1" t="s">
        <v>101</v>
      </c>
      <c r="L26" s="1">
        <v>1113</v>
      </c>
      <c r="M26" s="1">
        <v>3232</v>
      </c>
      <c r="N26" s="1" t="s">
        <v>102</v>
      </c>
      <c r="O26" s="1">
        <v>1334</v>
      </c>
      <c r="P26" s="1">
        <v>1696</v>
      </c>
      <c r="Q26" s="1" t="s">
        <v>103</v>
      </c>
      <c r="R26" s="1">
        <v>894</v>
      </c>
      <c r="S26" s="1">
        <v>2493</v>
      </c>
      <c r="T26" s="1">
        <v>3387</v>
      </c>
      <c r="U26" s="1">
        <v>2063</v>
      </c>
      <c r="V26" s="1">
        <v>1244</v>
      </c>
      <c r="W26" s="1">
        <v>639</v>
      </c>
      <c r="X26" s="1">
        <v>352</v>
      </c>
      <c r="Y26" s="1">
        <v>457</v>
      </c>
      <c r="Z26" s="1">
        <v>1698</v>
      </c>
      <c r="AA26" s="1">
        <v>1550</v>
      </c>
      <c r="AB26" s="1">
        <v>-583</v>
      </c>
    </row>
    <row r="27" spans="1:28" x14ac:dyDescent="0.3">
      <c r="A27" s="1">
        <v>26</v>
      </c>
      <c r="B27" s="1" t="s">
        <v>147</v>
      </c>
      <c r="C27" s="1">
        <v>82</v>
      </c>
      <c r="D27" s="1">
        <v>24</v>
      </c>
      <c r="E27" s="1">
        <v>58</v>
      </c>
      <c r="F27" s="1" t="s">
        <v>104</v>
      </c>
      <c r="G27" s="1">
        <v>3961</v>
      </c>
      <c r="H27" s="1">
        <v>8988</v>
      </c>
      <c r="I27" s="1">
        <v>3254</v>
      </c>
      <c r="J27" s="1">
        <v>7168</v>
      </c>
      <c r="K27" s="1" t="s">
        <v>105</v>
      </c>
      <c r="L27" s="1">
        <v>1041</v>
      </c>
      <c r="M27" s="1">
        <v>3050</v>
      </c>
      <c r="N27" s="1" t="s">
        <v>106</v>
      </c>
      <c r="O27" s="1">
        <v>1439</v>
      </c>
      <c r="P27" s="1">
        <v>1844</v>
      </c>
      <c r="Q27" s="1" t="s">
        <v>107</v>
      </c>
      <c r="R27" s="1">
        <v>852</v>
      </c>
      <c r="S27" s="1">
        <v>2411</v>
      </c>
      <c r="T27" s="1">
        <v>3263</v>
      </c>
      <c r="U27" s="1">
        <v>1901</v>
      </c>
      <c r="V27" s="1">
        <v>1117</v>
      </c>
      <c r="W27" s="1">
        <v>752</v>
      </c>
      <c r="X27" s="1">
        <v>366</v>
      </c>
      <c r="Y27" s="1">
        <v>420</v>
      </c>
      <c r="Z27" s="1">
        <v>1556</v>
      </c>
      <c r="AA27" s="1">
        <v>1530</v>
      </c>
      <c r="AB27" s="1">
        <v>-511</v>
      </c>
    </row>
    <row r="28" spans="1:28" x14ac:dyDescent="0.3">
      <c r="A28" s="1">
        <v>27</v>
      </c>
      <c r="B28" s="1" t="s">
        <v>148</v>
      </c>
      <c r="C28" s="1">
        <v>82</v>
      </c>
      <c r="D28" s="1">
        <v>21</v>
      </c>
      <c r="E28" s="1">
        <v>61</v>
      </c>
      <c r="F28" s="1" t="s">
        <v>108</v>
      </c>
      <c r="G28" s="1">
        <v>3951</v>
      </c>
      <c r="H28" s="1">
        <v>9006</v>
      </c>
      <c r="I28" s="1">
        <v>3332</v>
      </c>
      <c r="J28" s="1">
        <v>7368</v>
      </c>
      <c r="K28" s="1" t="s">
        <v>109</v>
      </c>
      <c r="L28" s="1">
        <v>986</v>
      </c>
      <c r="M28" s="1">
        <v>2839</v>
      </c>
      <c r="N28" s="1" t="s">
        <v>110</v>
      </c>
      <c r="O28" s="1">
        <v>1356</v>
      </c>
      <c r="P28" s="1">
        <v>1799</v>
      </c>
      <c r="Q28" s="1" t="s">
        <v>111</v>
      </c>
      <c r="R28" s="1">
        <v>993</v>
      </c>
      <c r="S28" s="1">
        <v>2583</v>
      </c>
      <c r="T28" s="1">
        <v>3576</v>
      </c>
      <c r="U28" s="1">
        <v>2119</v>
      </c>
      <c r="V28" s="1">
        <v>1201</v>
      </c>
      <c r="W28" s="1">
        <v>701</v>
      </c>
      <c r="X28" s="1">
        <v>429</v>
      </c>
      <c r="Y28" s="1">
        <v>428</v>
      </c>
      <c r="Z28" s="1">
        <v>1499</v>
      </c>
      <c r="AA28" s="1">
        <v>1471</v>
      </c>
      <c r="AB28" s="1">
        <v>-773</v>
      </c>
    </row>
    <row r="29" spans="1:28" x14ac:dyDescent="0.3">
      <c r="A29" s="1">
        <v>28</v>
      </c>
      <c r="B29" s="1" t="s">
        <v>149</v>
      </c>
      <c r="C29" s="1">
        <v>82</v>
      </c>
      <c r="D29" s="1">
        <v>19</v>
      </c>
      <c r="E29" s="1">
        <v>63</v>
      </c>
      <c r="F29" s="1" t="s">
        <v>112</v>
      </c>
      <c r="G29" s="1">
        <v>3951</v>
      </c>
      <c r="H29" s="1">
        <v>8618</v>
      </c>
      <c r="I29" s="1">
        <v>3142</v>
      </c>
      <c r="J29" s="1">
        <v>7308</v>
      </c>
      <c r="K29" s="1" t="s">
        <v>113</v>
      </c>
      <c r="L29" s="1">
        <v>1065</v>
      </c>
      <c r="M29" s="1">
        <v>3143</v>
      </c>
      <c r="N29" s="1" t="s">
        <v>114</v>
      </c>
      <c r="O29" s="1">
        <v>1269</v>
      </c>
      <c r="P29" s="1">
        <v>1621</v>
      </c>
      <c r="Q29" s="1" t="s">
        <v>115</v>
      </c>
      <c r="R29" s="1">
        <v>1003</v>
      </c>
      <c r="S29" s="1">
        <v>2703</v>
      </c>
      <c r="T29" s="1">
        <v>3706</v>
      </c>
      <c r="U29" s="1">
        <v>1994</v>
      </c>
      <c r="V29" s="1">
        <v>1271</v>
      </c>
      <c r="W29" s="1">
        <v>607</v>
      </c>
      <c r="X29" s="1">
        <v>368</v>
      </c>
      <c r="Y29" s="1">
        <v>435</v>
      </c>
      <c r="Z29" s="1">
        <v>1535</v>
      </c>
      <c r="AA29" s="1">
        <v>1488</v>
      </c>
      <c r="AB29" s="1">
        <v>-747</v>
      </c>
    </row>
    <row r="30" spans="1:28" x14ac:dyDescent="0.3">
      <c r="A30" s="1">
        <v>29</v>
      </c>
      <c r="B30" s="1" t="s">
        <v>150</v>
      </c>
      <c r="C30" s="1">
        <v>82</v>
      </c>
      <c r="D30" s="1">
        <v>18</v>
      </c>
      <c r="E30" s="1">
        <v>64</v>
      </c>
      <c r="F30" s="1" t="s">
        <v>116</v>
      </c>
      <c r="G30" s="1">
        <v>3946</v>
      </c>
      <c r="H30" s="1">
        <v>8856</v>
      </c>
      <c r="I30" s="1">
        <v>3233</v>
      </c>
      <c r="J30" s="1">
        <v>7371</v>
      </c>
      <c r="K30" s="1" t="s">
        <v>117</v>
      </c>
      <c r="L30" s="1">
        <v>1075</v>
      </c>
      <c r="M30" s="1">
        <v>3210</v>
      </c>
      <c r="N30" s="1" t="s">
        <v>118</v>
      </c>
      <c r="O30" s="1">
        <v>1315</v>
      </c>
      <c r="P30" s="1">
        <v>1690</v>
      </c>
      <c r="Q30" s="1" t="s">
        <v>119</v>
      </c>
      <c r="R30" s="1">
        <v>867</v>
      </c>
      <c r="S30" s="1">
        <v>2716</v>
      </c>
      <c r="T30" s="1">
        <v>3583</v>
      </c>
      <c r="U30" s="1">
        <v>2058</v>
      </c>
      <c r="V30" s="1">
        <v>1276</v>
      </c>
      <c r="W30" s="1">
        <v>623</v>
      </c>
      <c r="X30" s="1">
        <v>420</v>
      </c>
      <c r="Y30" s="1">
        <v>428</v>
      </c>
      <c r="Z30" s="1">
        <v>1618</v>
      </c>
      <c r="AA30" s="1">
        <v>1490</v>
      </c>
      <c r="AB30" s="1">
        <v>-1020</v>
      </c>
    </row>
    <row r="31" spans="1:28" x14ac:dyDescent="0.3">
      <c r="A31" s="1">
        <v>30</v>
      </c>
      <c r="B31" s="1" t="s">
        <v>151</v>
      </c>
      <c r="C31" s="1">
        <v>82</v>
      </c>
      <c r="D31" s="1">
        <v>17</v>
      </c>
      <c r="E31" s="1">
        <v>65</v>
      </c>
      <c r="F31" s="1" t="s">
        <v>120</v>
      </c>
      <c r="G31" s="1">
        <v>3961</v>
      </c>
      <c r="H31" s="1">
        <v>9175</v>
      </c>
      <c r="I31" s="1">
        <v>3305</v>
      </c>
      <c r="J31" s="1">
        <v>7272</v>
      </c>
      <c r="K31" s="1" t="s">
        <v>105</v>
      </c>
      <c r="L31" s="1">
        <v>1144</v>
      </c>
      <c r="M31" s="1">
        <v>3267</v>
      </c>
      <c r="N31" s="1" t="s">
        <v>121</v>
      </c>
      <c r="O31" s="1">
        <v>1421</v>
      </c>
      <c r="P31" s="1">
        <v>1836</v>
      </c>
      <c r="Q31" s="1" t="s">
        <v>72</v>
      </c>
      <c r="R31" s="1">
        <v>983</v>
      </c>
      <c r="S31" s="1">
        <v>2741</v>
      </c>
      <c r="T31" s="1">
        <v>3724</v>
      </c>
      <c r="U31" s="1">
        <v>2093</v>
      </c>
      <c r="V31" s="1">
        <v>1412</v>
      </c>
      <c r="W31" s="1">
        <v>555</v>
      </c>
      <c r="X31" s="1">
        <v>360</v>
      </c>
      <c r="Y31" s="1">
        <v>527</v>
      </c>
      <c r="Z31" s="1">
        <v>1549</v>
      </c>
      <c r="AA31" s="1">
        <v>1580</v>
      </c>
      <c r="AB31" s="1">
        <v>-766</v>
      </c>
    </row>
    <row r="33" spans="2:5" x14ac:dyDescent="0.3">
      <c r="C33" s="3" t="s">
        <v>161</v>
      </c>
      <c r="D33" s="3"/>
      <c r="E33" s="6" t="s">
        <v>162</v>
      </c>
    </row>
    <row r="34" spans="2:5" x14ac:dyDescent="0.3">
      <c r="B34" s="8" t="s">
        <v>152</v>
      </c>
      <c r="C34" s="4">
        <f>SUM(T2:T31)</f>
        <v>108516</v>
      </c>
      <c r="D34" s="5">
        <f>C34/$C$44</f>
        <v>0.1913194334253647</v>
      </c>
      <c r="E34" s="7">
        <v>0.215</v>
      </c>
    </row>
    <row r="35" spans="2:5" x14ac:dyDescent="0.3">
      <c r="B35" s="8" t="s">
        <v>153</v>
      </c>
      <c r="C35" s="4">
        <f>SUM(J2:J31)-SUM(M2:M31)</f>
        <v>127073</v>
      </c>
      <c r="D35" s="5">
        <f t="shared" ref="D35:D43" si="0">C35/$C$44</f>
        <v>0.22403640351341153</v>
      </c>
      <c r="E35" s="7">
        <v>0.17599999999999999</v>
      </c>
    </row>
    <row r="36" spans="2:5" x14ac:dyDescent="0.3">
      <c r="B36" s="8" t="s">
        <v>154</v>
      </c>
      <c r="C36" s="4">
        <f>SUM(M2:M31)</f>
        <v>92454</v>
      </c>
      <c r="D36" s="5">
        <f t="shared" si="0"/>
        <v>0.16300127997630456</v>
      </c>
      <c r="E36" s="7">
        <v>0.13200000000000001</v>
      </c>
    </row>
    <row r="37" spans="2:5" x14ac:dyDescent="0.3">
      <c r="B37" s="8" t="s">
        <v>155</v>
      </c>
      <c r="C37" s="4">
        <f>SUM(P2:P31)</f>
        <v>53312</v>
      </c>
      <c r="D37" s="5">
        <f t="shared" si="0"/>
        <v>9.3991868800665734E-2</v>
      </c>
      <c r="E37" s="7">
        <v>0.11</v>
      </c>
    </row>
    <row r="38" spans="2:5" x14ac:dyDescent="0.3">
      <c r="B38" s="8" t="s">
        <v>156</v>
      </c>
      <c r="C38" s="4">
        <f>SUM(Z2:Z31)</f>
        <v>45746</v>
      </c>
      <c r="D38" s="5">
        <f t="shared" si="0"/>
        <v>8.0652611610055047E-2</v>
      </c>
      <c r="E38" s="7">
        <v>9.8000000000000004E-2</v>
      </c>
    </row>
    <row r="39" spans="2:5" x14ac:dyDescent="0.3">
      <c r="B39" s="8" t="s">
        <v>19</v>
      </c>
      <c r="C39" s="4">
        <f>SUM(U2:U31)</f>
        <v>65312</v>
      </c>
      <c r="D39" s="5">
        <f t="shared" si="0"/>
        <v>0.11514850193406888</v>
      </c>
      <c r="E39" s="7">
        <v>0.13600000000000001</v>
      </c>
    </row>
    <row r="40" spans="2:5" x14ac:dyDescent="0.3">
      <c r="B40" s="8" t="s">
        <v>157</v>
      </c>
      <c r="C40" s="4">
        <f>SUM(V2:V31)</f>
        <v>35174</v>
      </c>
      <c r="D40" s="5">
        <f t="shared" si="0"/>
        <v>6.201361781952687E-2</v>
      </c>
      <c r="E40" s="7">
        <v>6.9000000000000006E-2</v>
      </c>
    </row>
    <row r="41" spans="2:5" x14ac:dyDescent="0.3">
      <c r="B41" s="8" t="s">
        <v>158</v>
      </c>
      <c r="C41" s="4">
        <f>SUM(W2:W31)</f>
        <v>20184</v>
      </c>
      <c r="D41" s="5">
        <f t="shared" si="0"/>
        <v>3.5585456930384098E-2</v>
      </c>
      <c r="E41" s="7">
        <v>4.1000000000000002E-2</v>
      </c>
    </row>
    <row r="42" spans="2:5" x14ac:dyDescent="0.3">
      <c r="B42" s="8" t="s">
        <v>159</v>
      </c>
      <c r="C42" s="4">
        <f>SUM(X2:X31)</f>
        <v>11995</v>
      </c>
      <c r="D42" s="5">
        <f t="shared" si="0"/>
        <v>2.1147817869597567E-2</v>
      </c>
      <c r="E42" s="7">
        <v>2.1999999999999999E-2</v>
      </c>
    </row>
    <row r="43" spans="2:5" x14ac:dyDescent="0.3">
      <c r="B43" s="8" t="s">
        <v>187</v>
      </c>
      <c r="C43" s="4">
        <f>SUM('Violations 2024-25'!F3:X32)-SUM('Violations 2024-25'!Q3:Q32)</f>
        <v>7432</v>
      </c>
      <c r="D43" s="5">
        <f t="shared" si="0"/>
        <v>1.3103008120621018E-2</v>
      </c>
      <c r="E43" s="7">
        <v>1E-3</v>
      </c>
    </row>
    <row r="44" spans="2:5" x14ac:dyDescent="0.3">
      <c r="B44" s="2" t="s">
        <v>160</v>
      </c>
      <c r="C44" s="2">
        <f>SUM(C34:C43)</f>
        <v>567198</v>
      </c>
    </row>
  </sheetData>
  <mergeCells count="1">
    <mergeCell ref="C33:D33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BDC6-CB14-4AC3-B71A-47D1C422B039}">
  <dimension ref="A1:X32"/>
  <sheetViews>
    <sheetView workbookViewId="0">
      <selection activeCell="F13" sqref="F13"/>
    </sheetView>
  </sheetViews>
  <sheetFormatPr defaultRowHeight="14.4" x14ac:dyDescent="0.3"/>
  <cols>
    <col min="1" max="1" width="26.33203125" bestFit="1" customWidth="1"/>
    <col min="2" max="2" width="3.21875" bestFit="1" customWidth="1"/>
    <col min="3" max="4" width="3" bestFit="1" customWidth="1"/>
    <col min="5" max="5" width="6.109375" bestFit="1" customWidth="1"/>
    <col min="6" max="6" width="6" bestFit="1" customWidth="1"/>
    <col min="7" max="8" width="8" bestFit="1" customWidth="1"/>
    <col min="9" max="9" width="5.44140625" bestFit="1" customWidth="1"/>
    <col min="10" max="11" width="6" bestFit="1" customWidth="1"/>
    <col min="12" max="12" width="5.44140625" bestFit="1" customWidth="1"/>
    <col min="13" max="13" width="9.21875" bestFit="1" customWidth="1"/>
    <col min="14" max="14" width="6.88671875" bestFit="1" customWidth="1"/>
    <col min="15" max="15" width="6.6640625" bestFit="1" customWidth="1"/>
    <col min="16" max="16" width="8.77734375" bestFit="1" customWidth="1"/>
    <col min="17" max="18" width="5.44140625" bestFit="1" customWidth="1"/>
    <col min="19" max="19" width="7.77734375" bestFit="1" customWidth="1"/>
    <col min="20" max="20" width="6.21875" bestFit="1" customWidth="1"/>
    <col min="21" max="21" width="6.6640625" bestFit="1" customWidth="1"/>
    <col min="22" max="22" width="5.33203125" bestFit="1" customWidth="1"/>
    <col min="23" max="23" width="5.6640625" bestFit="1" customWidth="1"/>
    <col min="24" max="24" width="6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163</v>
      </c>
      <c r="G1" t="s">
        <v>164</v>
      </c>
      <c r="H1" t="s">
        <v>166</v>
      </c>
      <c r="I1" t="s">
        <v>167</v>
      </c>
      <c r="J1" t="s">
        <v>169</v>
      </c>
      <c r="K1" t="s">
        <v>170</v>
      </c>
      <c r="L1" t="s">
        <v>171</v>
      </c>
      <c r="M1" t="s">
        <v>173</v>
      </c>
      <c r="N1" t="s">
        <v>174</v>
      </c>
      <c r="O1" t="s">
        <v>167</v>
      </c>
      <c r="P1" t="s">
        <v>177</v>
      </c>
      <c r="Q1" t="s">
        <v>167</v>
      </c>
      <c r="R1" t="s">
        <v>179</v>
      </c>
      <c r="S1" t="s">
        <v>180</v>
      </c>
      <c r="T1" t="s">
        <v>181</v>
      </c>
      <c r="U1" t="s">
        <v>179</v>
      </c>
      <c r="V1" t="s">
        <v>183</v>
      </c>
      <c r="W1" t="s">
        <v>184</v>
      </c>
      <c r="X1" t="s">
        <v>186</v>
      </c>
    </row>
    <row r="2" spans="1:24" x14ac:dyDescent="0.3">
      <c r="G2" t="s">
        <v>165</v>
      </c>
      <c r="H2" t="s">
        <v>165</v>
      </c>
      <c r="I2" t="s">
        <v>168</v>
      </c>
      <c r="L2" t="s">
        <v>172</v>
      </c>
      <c r="N2" t="s">
        <v>175</v>
      </c>
      <c r="O2" t="s">
        <v>176</v>
      </c>
      <c r="Q2" t="s">
        <v>178</v>
      </c>
      <c r="R2" t="s">
        <v>168</v>
      </c>
      <c r="T2" t="s">
        <v>182</v>
      </c>
      <c r="U2" t="s">
        <v>176</v>
      </c>
      <c r="W2" t="s">
        <v>185</v>
      </c>
      <c r="X2" t="s">
        <v>185</v>
      </c>
    </row>
    <row r="3" spans="1:24" x14ac:dyDescent="0.3">
      <c r="A3" t="s">
        <v>137</v>
      </c>
      <c r="B3">
        <v>82</v>
      </c>
      <c r="C3">
        <v>40</v>
      </c>
      <c r="D3">
        <v>42</v>
      </c>
      <c r="E3" t="s">
        <v>77</v>
      </c>
      <c r="F3">
        <v>72</v>
      </c>
      <c r="G3">
        <v>2</v>
      </c>
      <c r="H3">
        <v>1</v>
      </c>
      <c r="I3">
        <v>3</v>
      </c>
      <c r="J3">
        <v>3</v>
      </c>
      <c r="K3">
        <v>1</v>
      </c>
      <c r="L3">
        <v>63</v>
      </c>
      <c r="M3">
        <v>0</v>
      </c>
      <c r="N3">
        <v>8</v>
      </c>
      <c r="O3">
        <v>7</v>
      </c>
      <c r="P3">
        <v>1</v>
      </c>
      <c r="Q3">
        <v>84</v>
      </c>
      <c r="R3">
        <v>12</v>
      </c>
      <c r="S3">
        <v>23</v>
      </c>
      <c r="T3">
        <v>24</v>
      </c>
      <c r="U3">
        <v>9</v>
      </c>
      <c r="V3">
        <v>1</v>
      </c>
      <c r="W3">
        <v>0</v>
      </c>
      <c r="X3">
        <v>39</v>
      </c>
    </row>
    <row r="4" spans="1:24" x14ac:dyDescent="0.3">
      <c r="A4" t="s">
        <v>124</v>
      </c>
      <c r="B4">
        <v>82</v>
      </c>
      <c r="C4">
        <v>61</v>
      </c>
      <c r="D4">
        <v>21</v>
      </c>
      <c r="E4" t="s">
        <v>35</v>
      </c>
      <c r="F4">
        <v>40</v>
      </c>
      <c r="G4">
        <v>1</v>
      </c>
      <c r="H4">
        <v>0</v>
      </c>
      <c r="I4">
        <v>3</v>
      </c>
      <c r="J4">
        <v>2</v>
      </c>
      <c r="K4">
        <v>0</v>
      </c>
      <c r="L4">
        <v>40</v>
      </c>
      <c r="M4">
        <v>0</v>
      </c>
      <c r="N4">
        <v>12</v>
      </c>
      <c r="O4">
        <v>3</v>
      </c>
      <c r="P4">
        <v>1</v>
      </c>
      <c r="Q4">
        <v>114</v>
      </c>
      <c r="R4">
        <v>7</v>
      </c>
      <c r="S4">
        <v>23</v>
      </c>
      <c r="T4">
        <v>21</v>
      </c>
      <c r="U4">
        <v>15</v>
      </c>
      <c r="V4">
        <v>1</v>
      </c>
      <c r="W4">
        <v>0</v>
      </c>
      <c r="X4">
        <v>20</v>
      </c>
    </row>
    <row r="5" spans="1:24" x14ac:dyDescent="0.3">
      <c r="A5" t="s">
        <v>146</v>
      </c>
      <c r="B5">
        <v>82</v>
      </c>
      <c r="C5">
        <v>26</v>
      </c>
      <c r="D5">
        <v>56</v>
      </c>
      <c r="E5" t="s">
        <v>100</v>
      </c>
      <c r="F5">
        <v>58</v>
      </c>
      <c r="G5">
        <v>2</v>
      </c>
      <c r="H5">
        <v>3</v>
      </c>
      <c r="I5">
        <v>8</v>
      </c>
      <c r="J5">
        <v>0</v>
      </c>
      <c r="K5">
        <v>5</v>
      </c>
      <c r="L5">
        <v>101</v>
      </c>
      <c r="M5">
        <v>2</v>
      </c>
      <c r="N5">
        <v>5</v>
      </c>
      <c r="O5">
        <v>3</v>
      </c>
      <c r="P5">
        <v>4</v>
      </c>
      <c r="Q5">
        <v>140</v>
      </c>
      <c r="R5">
        <v>20</v>
      </c>
      <c r="S5">
        <v>31</v>
      </c>
      <c r="T5">
        <v>24</v>
      </c>
      <c r="U5">
        <v>33</v>
      </c>
      <c r="V5">
        <v>4</v>
      </c>
      <c r="W5">
        <v>1</v>
      </c>
      <c r="X5">
        <v>37</v>
      </c>
    </row>
    <row r="6" spans="1:24" x14ac:dyDescent="0.3">
      <c r="A6" t="s">
        <v>149</v>
      </c>
      <c r="B6">
        <v>82</v>
      </c>
      <c r="C6">
        <v>19</v>
      </c>
      <c r="D6">
        <v>63</v>
      </c>
      <c r="E6" t="s">
        <v>112</v>
      </c>
      <c r="F6">
        <v>66</v>
      </c>
      <c r="G6">
        <v>4</v>
      </c>
      <c r="H6">
        <v>2</v>
      </c>
      <c r="I6">
        <v>1</v>
      </c>
      <c r="J6">
        <v>2</v>
      </c>
      <c r="K6">
        <v>3</v>
      </c>
      <c r="L6">
        <v>47</v>
      </c>
      <c r="M6">
        <v>0</v>
      </c>
      <c r="N6">
        <v>6</v>
      </c>
      <c r="O6">
        <v>4</v>
      </c>
      <c r="P6">
        <v>0</v>
      </c>
      <c r="Q6">
        <v>137</v>
      </c>
      <c r="R6">
        <v>14</v>
      </c>
      <c r="S6">
        <v>17</v>
      </c>
      <c r="T6">
        <v>19</v>
      </c>
      <c r="U6">
        <v>25</v>
      </c>
      <c r="V6">
        <v>0</v>
      </c>
      <c r="W6">
        <v>0</v>
      </c>
      <c r="X6">
        <v>26</v>
      </c>
    </row>
    <row r="7" spans="1:24" x14ac:dyDescent="0.3">
      <c r="A7" t="s">
        <v>139</v>
      </c>
      <c r="B7">
        <v>82</v>
      </c>
      <c r="C7">
        <v>39</v>
      </c>
      <c r="D7">
        <v>43</v>
      </c>
      <c r="E7" t="s">
        <v>83</v>
      </c>
      <c r="F7">
        <v>72</v>
      </c>
      <c r="G7">
        <v>4</v>
      </c>
      <c r="H7">
        <v>1</v>
      </c>
      <c r="I7">
        <v>3</v>
      </c>
      <c r="J7">
        <v>3</v>
      </c>
      <c r="K7">
        <v>3</v>
      </c>
      <c r="L7">
        <v>54</v>
      </c>
      <c r="M7">
        <v>2</v>
      </c>
      <c r="N7">
        <v>13</v>
      </c>
      <c r="O7">
        <v>5</v>
      </c>
      <c r="P7">
        <v>2</v>
      </c>
      <c r="Q7">
        <v>84</v>
      </c>
      <c r="R7">
        <v>3</v>
      </c>
      <c r="S7">
        <v>27</v>
      </c>
      <c r="T7">
        <v>18</v>
      </c>
      <c r="U7">
        <v>12</v>
      </c>
      <c r="V7">
        <v>1</v>
      </c>
      <c r="W7">
        <v>0</v>
      </c>
      <c r="X7">
        <v>28</v>
      </c>
    </row>
    <row r="8" spans="1:24" x14ac:dyDescent="0.3">
      <c r="A8" t="s">
        <v>123</v>
      </c>
      <c r="B8">
        <v>82</v>
      </c>
      <c r="C8">
        <v>64</v>
      </c>
      <c r="D8">
        <v>18</v>
      </c>
      <c r="E8" t="s">
        <v>31</v>
      </c>
      <c r="F8">
        <v>66</v>
      </c>
      <c r="G8">
        <v>2</v>
      </c>
      <c r="H8">
        <v>1</v>
      </c>
      <c r="I8">
        <v>1</v>
      </c>
      <c r="J8">
        <v>2</v>
      </c>
      <c r="K8">
        <v>2</v>
      </c>
      <c r="L8">
        <v>50</v>
      </c>
      <c r="M8">
        <v>1</v>
      </c>
      <c r="N8">
        <v>10</v>
      </c>
      <c r="O8">
        <v>4</v>
      </c>
      <c r="P8">
        <v>3</v>
      </c>
      <c r="Q8">
        <v>83</v>
      </c>
      <c r="R8">
        <v>15</v>
      </c>
      <c r="S8">
        <v>16</v>
      </c>
      <c r="T8">
        <v>18</v>
      </c>
      <c r="U8">
        <v>7</v>
      </c>
      <c r="V8">
        <v>0</v>
      </c>
      <c r="W8">
        <v>0</v>
      </c>
      <c r="X8">
        <v>35</v>
      </c>
    </row>
    <row r="9" spans="1:24" x14ac:dyDescent="0.3">
      <c r="A9" t="s">
        <v>140</v>
      </c>
      <c r="B9">
        <v>82</v>
      </c>
      <c r="C9">
        <v>39</v>
      </c>
      <c r="D9">
        <v>43</v>
      </c>
      <c r="E9" t="s">
        <v>83</v>
      </c>
      <c r="F9">
        <v>51</v>
      </c>
      <c r="G9">
        <v>2</v>
      </c>
      <c r="H9">
        <v>2</v>
      </c>
      <c r="I9">
        <v>4</v>
      </c>
      <c r="J9">
        <v>1</v>
      </c>
      <c r="K9">
        <v>0</v>
      </c>
      <c r="L9">
        <v>59</v>
      </c>
      <c r="M9">
        <v>2</v>
      </c>
      <c r="N9">
        <v>6</v>
      </c>
      <c r="O9">
        <v>1</v>
      </c>
      <c r="P9">
        <v>3</v>
      </c>
      <c r="Q9">
        <v>115</v>
      </c>
      <c r="R9">
        <v>11</v>
      </c>
      <c r="S9">
        <v>34</v>
      </c>
      <c r="T9">
        <v>10</v>
      </c>
      <c r="U9">
        <v>26</v>
      </c>
      <c r="V9">
        <v>0</v>
      </c>
      <c r="W9">
        <v>0</v>
      </c>
      <c r="X9">
        <v>33</v>
      </c>
    </row>
    <row r="10" spans="1:24" x14ac:dyDescent="0.3">
      <c r="A10" t="s">
        <v>127</v>
      </c>
      <c r="B10">
        <v>82</v>
      </c>
      <c r="C10">
        <v>50</v>
      </c>
      <c r="D10">
        <v>32</v>
      </c>
      <c r="E10" t="s">
        <v>47</v>
      </c>
      <c r="F10">
        <v>43</v>
      </c>
      <c r="G10">
        <v>2</v>
      </c>
      <c r="H10">
        <v>0</v>
      </c>
      <c r="I10">
        <v>0</v>
      </c>
      <c r="J10">
        <v>0</v>
      </c>
      <c r="K10">
        <v>0</v>
      </c>
      <c r="L10">
        <v>58</v>
      </c>
      <c r="M10">
        <v>1</v>
      </c>
      <c r="N10">
        <v>7</v>
      </c>
      <c r="O10">
        <v>6</v>
      </c>
      <c r="P10">
        <v>0</v>
      </c>
      <c r="Q10">
        <v>109</v>
      </c>
      <c r="R10">
        <v>3</v>
      </c>
      <c r="S10">
        <v>37</v>
      </c>
      <c r="T10">
        <v>19</v>
      </c>
      <c r="U10">
        <v>17</v>
      </c>
      <c r="V10">
        <v>1</v>
      </c>
      <c r="W10">
        <v>0</v>
      </c>
      <c r="X10">
        <v>29</v>
      </c>
    </row>
    <row r="11" spans="1:24" x14ac:dyDescent="0.3">
      <c r="A11" t="s">
        <v>135</v>
      </c>
      <c r="B11">
        <v>82</v>
      </c>
      <c r="C11">
        <v>44</v>
      </c>
      <c r="D11">
        <v>38</v>
      </c>
      <c r="E11" t="s">
        <v>69</v>
      </c>
      <c r="F11">
        <v>38</v>
      </c>
      <c r="G11">
        <v>6</v>
      </c>
      <c r="H11">
        <v>4</v>
      </c>
      <c r="I11">
        <v>2</v>
      </c>
      <c r="J11">
        <v>0</v>
      </c>
      <c r="K11">
        <v>1</v>
      </c>
      <c r="L11">
        <v>62</v>
      </c>
      <c r="M11">
        <v>1</v>
      </c>
      <c r="N11">
        <v>11</v>
      </c>
      <c r="O11">
        <v>1</v>
      </c>
      <c r="P11">
        <v>2</v>
      </c>
      <c r="Q11">
        <v>133</v>
      </c>
      <c r="R11">
        <v>15</v>
      </c>
      <c r="S11">
        <v>26</v>
      </c>
      <c r="T11">
        <v>15</v>
      </c>
      <c r="U11">
        <v>22</v>
      </c>
      <c r="V11">
        <v>2</v>
      </c>
      <c r="W11">
        <v>0</v>
      </c>
      <c r="X11">
        <v>16</v>
      </c>
    </row>
    <row r="12" spans="1:24" x14ac:dyDescent="0.3">
      <c r="A12" t="s">
        <v>132</v>
      </c>
      <c r="B12">
        <v>82</v>
      </c>
      <c r="C12">
        <v>48</v>
      </c>
      <c r="D12">
        <v>34</v>
      </c>
      <c r="E12" t="s">
        <v>61</v>
      </c>
      <c r="F12">
        <v>34</v>
      </c>
      <c r="G12">
        <v>0</v>
      </c>
      <c r="H12">
        <v>1</v>
      </c>
      <c r="I12">
        <v>1</v>
      </c>
      <c r="J12">
        <v>2</v>
      </c>
      <c r="K12">
        <v>4</v>
      </c>
      <c r="L12">
        <v>64</v>
      </c>
      <c r="M12">
        <v>0</v>
      </c>
      <c r="N12">
        <v>7</v>
      </c>
      <c r="O12">
        <v>0</v>
      </c>
      <c r="P12">
        <v>0</v>
      </c>
      <c r="Q12">
        <v>131</v>
      </c>
      <c r="R12">
        <v>12</v>
      </c>
      <c r="S12">
        <v>26</v>
      </c>
      <c r="T12">
        <v>22</v>
      </c>
      <c r="U12">
        <v>12</v>
      </c>
      <c r="V12">
        <v>1</v>
      </c>
      <c r="W12">
        <v>0</v>
      </c>
      <c r="X12">
        <v>25</v>
      </c>
    </row>
    <row r="13" spans="1:24" x14ac:dyDescent="0.3">
      <c r="A13" t="s">
        <v>125</v>
      </c>
      <c r="B13">
        <v>82</v>
      </c>
      <c r="C13">
        <v>52</v>
      </c>
      <c r="D13">
        <v>30</v>
      </c>
      <c r="E13" t="s">
        <v>39</v>
      </c>
      <c r="F13">
        <v>58</v>
      </c>
      <c r="G13">
        <v>1</v>
      </c>
      <c r="H13">
        <v>0</v>
      </c>
      <c r="I13">
        <v>7</v>
      </c>
      <c r="J13">
        <v>5</v>
      </c>
      <c r="K13">
        <v>3</v>
      </c>
      <c r="L13">
        <v>62</v>
      </c>
      <c r="M13">
        <v>1</v>
      </c>
      <c r="N13">
        <v>4</v>
      </c>
      <c r="O13">
        <v>4</v>
      </c>
      <c r="P13">
        <v>3</v>
      </c>
      <c r="Q13">
        <v>129</v>
      </c>
      <c r="R13">
        <v>4</v>
      </c>
      <c r="S13">
        <v>45</v>
      </c>
      <c r="T13">
        <v>25</v>
      </c>
      <c r="U13">
        <v>21</v>
      </c>
      <c r="V13">
        <v>4</v>
      </c>
      <c r="W13">
        <v>0</v>
      </c>
      <c r="X13">
        <v>33</v>
      </c>
    </row>
    <row r="14" spans="1:24" x14ac:dyDescent="0.3">
      <c r="A14" t="s">
        <v>128</v>
      </c>
      <c r="B14">
        <v>82</v>
      </c>
      <c r="C14">
        <v>50</v>
      </c>
      <c r="D14">
        <v>32</v>
      </c>
      <c r="E14" t="s">
        <v>47</v>
      </c>
      <c r="F14">
        <v>44</v>
      </c>
      <c r="G14">
        <v>2</v>
      </c>
      <c r="H14">
        <v>4</v>
      </c>
      <c r="I14">
        <v>6</v>
      </c>
      <c r="J14">
        <v>0</v>
      </c>
      <c r="K14">
        <v>2</v>
      </c>
      <c r="L14">
        <v>79</v>
      </c>
      <c r="M14">
        <v>1</v>
      </c>
      <c r="N14">
        <v>11</v>
      </c>
      <c r="O14">
        <v>5</v>
      </c>
      <c r="P14">
        <v>2</v>
      </c>
      <c r="Q14">
        <v>126</v>
      </c>
      <c r="R14">
        <v>9</v>
      </c>
      <c r="S14">
        <v>31</v>
      </c>
      <c r="T14">
        <v>12</v>
      </c>
      <c r="U14">
        <v>28</v>
      </c>
      <c r="V14">
        <v>0</v>
      </c>
      <c r="W14">
        <v>2</v>
      </c>
      <c r="X14">
        <v>23</v>
      </c>
    </row>
    <row r="15" spans="1:24" x14ac:dyDescent="0.3">
      <c r="A15" t="s">
        <v>129</v>
      </c>
      <c r="B15">
        <v>82</v>
      </c>
      <c r="C15">
        <v>50</v>
      </c>
      <c r="D15">
        <v>32</v>
      </c>
      <c r="E15" t="s">
        <v>47</v>
      </c>
      <c r="F15">
        <v>39</v>
      </c>
      <c r="G15">
        <v>4</v>
      </c>
      <c r="H15">
        <v>1</v>
      </c>
      <c r="I15">
        <v>2</v>
      </c>
      <c r="J15">
        <v>1</v>
      </c>
      <c r="K15">
        <v>1</v>
      </c>
      <c r="L15">
        <v>85</v>
      </c>
      <c r="M15">
        <v>1</v>
      </c>
      <c r="N15">
        <v>13</v>
      </c>
      <c r="O15">
        <v>4</v>
      </c>
      <c r="P15">
        <v>3</v>
      </c>
      <c r="Q15">
        <v>126</v>
      </c>
      <c r="R15">
        <v>9</v>
      </c>
      <c r="S15">
        <v>23</v>
      </c>
      <c r="T15">
        <v>18</v>
      </c>
      <c r="U15">
        <v>13</v>
      </c>
      <c r="V15">
        <v>1</v>
      </c>
      <c r="W15">
        <v>1</v>
      </c>
      <c r="X15">
        <v>24</v>
      </c>
    </row>
    <row r="16" spans="1:24" x14ac:dyDescent="0.3">
      <c r="A16" t="s">
        <v>130</v>
      </c>
      <c r="B16">
        <v>82</v>
      </c>
      <c r="C16">
        <v>50</v>
      </c>
      <c r="D16">
        <v>32</v>
      </c>
      <c r="E16" t="s">
        <v>47</v>
      </c>
      <c r="F16">
        <v>31</v>
      </c>
      <c r="G16">
        <v>5</v>
      </c>
      <c r="H16">
        <v>1</v>
      </c>
      <c r="I16">
        <v>2</v>
      </c>
      <c r="J16">
        <v>4</v>
      </c>
      <c r="K16">
        <v>3</v>
      </c>
      <c r="L16">
        <v>63</v>
      </c>
      <c r="M16">
        <v>0</v>
      </c>
      <c r="N16">
        <v>7</v>
      </c>
      <c r="O16">
        <v>5</v>
      </c>
      <c r="P16">
        <v>2</v>
      </c>
      <c r="Q16">
        <v>100</v>
      </c>
      <c r="R16">
        <v>9</v>
      </c>
      <c r="S16">
        <v>20</v>
      </c>
      <c r="T16">
        <v>11</v>
      </c>
      <c r="U16">
        <v>15</v>
      </c>
      <c r="V16">
        <v>2</v>
      </c>
      <c r="W16">
        <v>0</v>
      </c>
      <c r="X16">
        <v>44</v>
      </c>
    </row>
    <row r="17" spans="1:24" x14ac:dyDescent="0.3">
      <c r="A17" t="s">
        <v>133</v>
      </c>
      <c r="B17">
        <v>82</v>
      </c>
      <c r="C17">
        <v>48</v>
      </c>
      <c r="D17">
        <v>34</v>
      </c>
      <c r="E17" t="s">
        <v>61</v>
      </c>
      <c r="F17">
        <v>81</v>
      </c>
      <c r="G17">
        <v>2</v>
      </c>
      <c r="H17">
        <v>0</v>
      </c>
      <c r="I17">
        <v>13</v>
      </c>
      <c r="J17">
        <v>5</v>
      </c>
      <c r="K17">
        <v>2</v>
      </c>
      <c r="L17">
        <v>51</v>
      </c>
      <c r="M17">
        <v>3</v>
      </c>
      <c r="N17">
        <v>4</v>
      </c>
      <c r="O17">
        <v>6</v>
      </c>
      <c r="P17">
        <v>6</v>
      </c>
      <c r="Q17">
        <v>124</v>
      </c>
      <c r="R17">
        <v>11</v>
      </c>
      <c r="S17">
        <v>27</v>
      </c>
      <c r="T17">
        <v>21</v>
      </c>
      <c r="U17">
        <v>16</v>
      </c>
      <c r="V17">
        <v>1</v>
      </c>
      <c r="W17">
        <v>0</v>
      </c>
      <c r="X17">
        <v>26</v>
      </c>
    </row>
    <row r="18" spans="1:24" x14ac:dyDescent="0.3">
      <c r="A18" t="s">
        <v>141</v>
      </c>
      <c r="B18">
        <v>82</v>
      </c>
      <c r="C18">
        <v>37</v>
      </c>
      <c r="D18">
        <v>45</v>
      </c>
      <c r="E18" t="s">
        <v>86</v>
      </c>
      <c r="F18">
        <v>46</v>
      </c>
      <c r="G18">
        <v>2</v>
      </c>
      <c r="H18">
        <v>3</v>
      </c>
      <c r="I18">
        <v>3</v>
      </c>
      <c r="J18">
        <v>1</v>
      </c>
      <c r="K18">
        <v>4</v>
      </c>
      <c r="L18">
        <v>72</v>
      </c>
      <c r="M18">
        <v>2</v>
      </c>
      <c r="N18">
        <v>11</v>
      </c>
      <c r="O18">
        <v>8</v>
      </c>
      <c r="P18">
        <v>1</v>
      </c>
      <c r="Q18">
        <v>86</v>
      </c>
      <c r="R18">
        <v>7</v>
      </c>
      <c r="S18">
        <v>22</v>
      </c>
      <c r="T18">
        <v>10</v>
      </c>
      <c r="U18">
        <v>29</v>
      </c>
      <c r="V18">
        <v>2</v>
      </c>
      <c r="W18">
        <v>1</v>
      </c>
      <c r="X18">
        <v>47</v>
      </c>
    </row>
    <row r="19" spans="1:24" x14ac:dyDescent="0.3">
      <c r="A19" t="s">
        <v>134</v>
      </c>
      <c r="B19">
        <v>82</v>
      </c>
      <c r="C19">
        <v>48</v>
      </c>
      <c r="D19">
        <v>34</v>
      </c>
      <c r="E19" t="s">
        <v>61</v>
      </c>
      <c r="F19">
        <v>68</v>
      </c>
      <c r="G19">
        <v>2</v>
      </c>
      <c r="H19">
        <v>1</v>
      </c>
      <c r="I19">
        <v>8</v>
      </c>
      <c r="J19">
        <v>1</v>
      </c>
      <c r="K19">
        <v>1</v>
      </c>
      <c r="L19">
        <v>47</v>
      </c>
      <c r="M19">
        <v>1</v>
      </c>
      <c r="N19">
        <v>6</v>
      </c>
      <c r="O19">
        <v>4</v>
      </c>
      <c r="P19">
        <v>3</v>
      </c>
      <c r="Q19">
        <v>136</v>
      </c>
      <c r="R19">
        <v>18</v>
      </c>
      <c r="S19">
        <v>24</v>
      </c>
      <c r="T19">
        <v>15</v>
      </c>
      <c r="U19">
        <v>15</v>
      </c>
      <c r="V19">
        <v>4</v>
      </c>
      <c r="W19">
        <v>0</v>
      </c>
      <c r="X19">
        <v>26</v>
      </c>
    </row>
    <row r="20" spans="1:24" x14ac:dyDescent="0.3">
      <c r="A20" t="s">
        <v>131</v>
      </c>
      <c r="B20">
        <v>82</v>
      </c>
      <c r="C20">
        <v>49</v>
      </c>
      <c r="D20">
        <v>33</v>
      </c>
      <c r="E20" t="s">
        <v>58</v>
      </c>
      <c r="F20">
        <v>55</v>
      </c>
      <c r="G20">
        <v>1</v>
      </c>
      <c r="H20">
        <v>6</v>
      </c>
      <c r="I20">
        <v>4</v>
      </c>
      <c r="J20">
        <v>2</v>
      </c>
      <c r="K20">
        <v>4</v>
      </c>
      <c r="L20">
        <v>53</v>
      </c>
      <c r="M20">
        <v>1</v>
      </c>
      <c r="N20">
        <v>9</v>
      </c>
      <c r="O20">
        <v>3</v>
      </c>
      <c r="P20">
        <v>0</v>
      </c>
      <c r="Q20">
        <v>113</v>
      </c>
      <c r="R20">
        <v>8</v>
      </c>
      <c r="S20">
        <v>33</v>
      </c>
      <c r="T20">
        <v>28</v>
      </c>
      <c r="U20">
        <v>20</v>
      </c>
      <c r="V20">
        <v>3</v>
      </c>
      <c r="W20">
        <v>0</v>
      </c>
      <c r="X20">
        <v>52</v>
      </c>
    </row>
    <row r="21" spans="1:24" x14ac:dyDescent="0.3">
      <c r="A21" t="s">
        <v>148</v>
      </c>
      <c r="B21">
        <v>82</v>
      </c>
      <c r="C21">
        <v>21</v>
      </c>
      <c r="D21">
        <v>61</v>
      </c>
      <c r="E21" t="s">
        <v>108</v>
      </c>
      <c r="F21">
        <v>32</v>
      </c>
      <c r="G21">
        <v>3</v>
      </c>
      <c r="H21">
        <v>1</v>
      </c>
      <c r="I21">
        <v>4</v>
      </c>
      <c r="J21">
        <v>1</v>
      </c>
      <c r="K21">
        <v>2</v>
      </c>
      <c r="L21">
        <v>55</v>
      </c>
      <c r="M21">
        <v>0</v>
      </c>
      <c r="N21">
        <v>11</v>
      </c>
      <c r="O21">
        <v>5</v>
      </c>
      <c r="P21">
        <v>0</v>
      </c>
      <c r="Q21">
        <v>101</v>
      </c>
      <c r="R21">
        <v>6</v>
      </c>
      <c r="S21">
        <v>26</v>
      </c>
      <c r="T21">
        <v>19</v>
      </c>
      <c r="U21">
        <v>38</v>
      </c>
      <c r="V21">
        <v>3</v>
      </c>
      <c r="W21">
        <v>1</v>
      </c>
      <c r="X21">
        <v>41</v>
      </c>
    </row>
    <row r="22" spans="1:24" x14ac:dyDescent="0.3">
      <c r="A22" t="s">
        <v>126</v>
      </c>
      <c r="B22">
        <v>82</v>
      </c>
      <c r="C22">
        <v>51</v>
      </c>
      <c r="D22">
        <v>31</v>
      </c>
      <c r="E22" t="s">
        <v>43</v>
      </c>
      <c r="F22">
        <v>47</v>
      </c>
      <c r="G22">
        <v>1</v>
      </c>
      <c r="H22">
        <v>1</v>
      </c>
      <c r="I22">
        <v>5</v>
      </c>
      <c r="J22">
        <v>3</v>
      </c>
      <c r="K22">
        <v>4</v>
      </c>
      <c r="L22">
        <v>82</v>
      </c>
      <c r="M22">
        <v>0</v>
      </c>
      <c r="N22">
        <v>2</v>
      </c>
      <c r="O22">
        <v>3</v>
      </c>
      <c r="P22">
        <v>3</v>
      </c>
      <c r="Q22">
        <v>109</v>
      </c>
      <c r="R22">
        <v>8</v>
      </c>
      <c r="S22">
        <v>26</v>
      </c>
      <c r="T22">
        <v>28</v>
      </c>
      <c r="U22">
        <v>10</v>
      </c>
      <c r="V22">
        <v>1</v>
      </c>
      <c r="W22">
        <v>1</v>
      </c>
      <c r="X22">
        <v>49</v>
      </c>
    </row>
    <row r="23" spans="1:24" x14ac:dyDescent="0.3">
      <c r="A23" t="s">
        <v>122</v>
      </c>
      <c r="B23">
        <v>82</v>
      </c>
      <c r="C23">
        <v>68</v>
      </c>
      <c r="D23">
        <v>14</v>
      </c>
      <c r="E23" t="s">
        <v>27</v>
      </c>
      <c r="F23">
        <v>33</v>
      </c>
      <c r="G23">
        <v>1</v>
      </c>
      <c r="H23">
        <v>0</v>
      </c>
      <c r="I23">
        <v>2</v>
      </c>
      <c r="J23">
        <v>2</v>
      </c>
      <c r="K23">
        <v>0</v>
      </c>
      <c r="L23">
        <v>56</v>
      </c>
      <c r="M23">
        <v>0</v>
      </c>
      <c r="N23">
        <v>7</v>
      </c>
      <c r="O23">
        <v>5</v>
      </c>
      <c r="P23">
        <v>2</v>
      </c>
      <c r="Q23">
        <v>85</v>
      </c>
      <c r="R23">
        <v>10</v>
      </c>
      <c r="S23">
        <v>19</v>
      </c>
      <c r="T23">
        <v>13</v>
      </c>
      <c r="U23">
        <v>10</v>
      </c>
      <c r="V23">
        <v>1</v>
      </c>
      <c r="W23">
        <v>0</v>
      </c>
      <c r="X23">
        <v>30</v>
      </c>
    </row>
    <row r="24" spans="1:24" x14ac:dyDescent="0.3">
      <c r="A24" t="s">
        <v>136</v>
      </c>
      <c r="B24">
        <v>82</v>
      </c>
      <c r="C24">
        <v>41</v>
      </c>
      <c r="D24">
        <v>41</v>
      </c>
      <c r="E24" t="s">
        <v>73</v>
      </c>
      <c r="F24">
        <v>49</v>
      </c>
      <c r="G24">
        <v>2</v>
      </c>
      <c r="H24">
        <v>0</v>
      </c>
      <c r="I24">
        <v>2</v>
      </c>
      <c r="J24">
        <v>4</v>
      </c>
      <c r="K24">
        <v>4</v>
      </c>
      <c r="L24">
        <v>84</v>
      </c>
      <c r="M24">
        <v>0</v>
      </c>
      <c r="N24">
        <v>8</v>
      </c>
      <c r="O24">
        <v>7</v>
      </c>
      <c r="P24">
        <v>3</v>
      </c>
      <c r="Q24">
        <v>125</v>
      </c>
      <c r="R24">
        <v>6</v>
      </c>
      <c r="S24">
        <v>35</v>
      </c>
      <c r="T24">
        <v>22</v>
      </c>
      <c r="U24">
        <v>23</v>
      </c>
      <c r="V24">
        <v>1</v>
      </c>
      <c r="W24">
        <v>0</v>
      </c>
      <c r="X24">
        <v>35</v>
      </c>
    </row>
    <row r="25" spans="1:24" x14ac:dyDescent="0.3">
      <c r="A25" t="s">
        <v>147</v>
      </c>
      <c r="B25">
        <v>82</v>
      </c>
      <c r="C25">
        <v>24</v>
      </c>
      <c r="D25">
        <v>58</v>
      </c>
      <c r="E25" t="s">
        <v>104</v>
      </c>
      <c r="F25">
        <v>59</v>
      </c>
      <c r="G25">
        <v>4</v>
      </c>
      <c r="H25">
        <v>2</v>
      </c>
      <c r="I25">
        <v>6</v>
      </c>
      <c r="J25">
        <v>4</v>
      </c>
      <c r="K25">
        <v>3</v>
      </c>
      <c r="L25">
        <v>57</v>
      </c>
      <c r="M25">
        <v>3</v>
      </c>
      <c r="N25">
        <v>14</v>
      </c>
      <c r="O25">
        <v>2</v>
      </c>
      <c r="P25">
        <v>2</v>
      </c>
      <c r="Q25">
        <v>127</v>
      </c>
      <c r="R25">
        <v>10</v>
      </c>
      <c r="S25">
        <v>40</v>
      </c>
      <c r="T25">
        <v>14</v>
      </c>
      <c r="U25">
        <v>21</v>
      </c>
      <c r="V25">
        <v>2</v>
      </c>
      <c r="W25">
        <v>1</v>
      </c>
      <c r="X25">
        <v>24</v>
      </c>
    </row>
    <row r="26" spans="1:24" x14ac:dyDescent="0.3">
      <c r="A26" t="s">
        <v>142</v>
      </c>
      <c r="B26">
        <v>82</v>
      </c>
      <c r="C26">
        <v>36</v>
      </c>
      <c r="D26">
        <v>46</v>
      </c>
      <c r="E26" t="s">
        <v>89</v>
      </c>
      <c r="F26">
        <v>39</v>
      </c>
      <c r="G26">
        <v>1</v>
      </c>
      <c r="H26">
        <v>0</v>
      </c>
      <c r="I26">
        <v>0</v>
      </c>
      <c r="J26">
        <v>1</v>
      </c>
      <c r="K26">
        <v>2</v>
      </c>
      <c r="L26">
        <v>64</v>
      </c>
      <c r="M26">
        <v>0</v>
      </c>
      <c r="N26">
        <v>12</v>
      </c>
      <c r="O26">
        <v>2</v>
      </c>
      <c r="P26">
        <v>2</v>
      </c>
      <c r="Q26">
        <v>120</v>
      </c>
      <c r="R26">
        <v>11</v>
      </c>
      <c r="S26">
        <v>18</v>
      </c>
      <c r="T26">
        <v>10</v>
      </c>
      <c r="U26">
        <v>18</v>
      </c>
      <c r="V26">
        <v>2</v>
      </c>
      <c r="W26">
        <v>1</v>
      </c>
      <c r="X26">
        <v>18</v>
      </c>
    </row>
    <row r="27" spans="1:24" x14ac:dyDescent="0.3">
      <c r="A27" t="s">
        <v>143</v>
      </c>
      <c r="B27">
        <v>82</v>
      </c>
      <c r="C27">
        <v>36</v>
      </c>
      <c r="D27">
        <v>46</v>
      </c>
      <c r="E27" t="s">
        <v>89</v>
      </c>
      <c r="F27">
        <v>46</v>
      </c>
      <c r="G27">
        <v>10</v>
      </c>
      <c r="H27">
        <v>0</v>
      </c>
      <c r="I27">
        <v>3</v>
      </c>
      <c r="J27">
        <v>1</v>
      </c>
      <c r="K27">
        <v>2</v>
      </c>
      <c r="L27">
        <v>66</v>
      </c>
      <c r="M27">
        <v>0</v>
      </c>
      <c r="N27">
        <v>8</v>
      </c>
      <c r="O27">
        <v>8</v>
      </c>
      <c r="P27">
        <v>5</v>
      </c>
      <c r="Q27">
        <v>118</v>
      </c>
      <c r="R27">
        <v>13</v>
      </c>
      <c r="S27">
        <v>36</v>
      </c>
      <c r="T27">
        <v>20</v>
      </c>
      <c r="U27">
        <v>14</v>
      </c>
      <c r="V27">
        <v>2</v>
      </c>
      <c r="W27">
        <v>0</v>
      </c>
      <c r="X27">
        <v>31</v>
      </c>
    </row>
    <row r="28" spans="1:24" x14ac:dyDescent="0.3">
      <c r="A28" t="s">
        <v>138</v>
      </c>
      <c r="B28">
        <v>82</v>
      </c>
      <c r="C28">
        <v>40</v>
      </c>
      <c r="D28">
        <v>42</v>
      </c>
      <c r="E28" t="s">
        <v>77</v>
      </c>
      <c r="F28">
        <v>39</v>
      </c>
      <c r="G28">
        <v>2</v>
      </c>
      <c r="H28">
        <v>1</v>
      </c>
      <c r="I28">
        <v>6</v>
      </c>
      <c r="J28">
        <v>0</v>
      </c>
      <c r="K28">
        <v>0</v>
      </c>
      <c r="L28">
        <v>56</v>
      </c>
      <c r="M28">
        <v>0</v>
      </c>
      <c r="N28">
        <v>5</v>
      </c>
      <c r="O28">
        <v>1</v>
      </c>
      <c r="P28">
        <v>0</v>
      </c>
      <c r="Q28">
        <v>116</v>
      </c>
      <c r="R28">
        <v>10</v>
      </c>
      <c r="S28">
        <v>21</v>
      </c>
      <c r="T28">
        <v>11</v>
      </c>
      <c r="U28">
        <v>15</v>
      </c>
      <c r="V28">
        <v>0</v>
      </c>
      <c r="W28">
        <v>0</v>
      </c>
      <c r="X28">
        <v>31</v>
      </c>
    </row>
    <row r="29" spans="1:24" x14ac:dyDescent="0.3">
      <c r="A29" t="s">
        <v>144</v>
      </c>
      <c r="B29">
        <v>82</v>
      </c>
      <c r="C29">
        <v>34</v>
      </c>
      <c r="D29">
        <v>48</v>
      </c>
      <c r="E29" t="s">
        <v>95</v>
      </c>
      <c r="F29">
        <v>58</v>
      </c>
      <c r="G29">
        <v>3</v>
      </c>
      <c r="H29">
        <v>2</v>
      </c>
      <c r="I29">
        <v>2</v>
      </c>
      <c r="J29">
        <v>2</v>
      </c>
      <c r="K29">
        <v>1</v>
      </c>
      <c r="L29">
        <v>48</v>
      </c>
      <c r="M29">
        <v>1</v>
      </c>
      <c r="N29">
        <v>8</v>
      </c>
      <c r="O29">
        <v>5</v>
      </c>
      <c r="P29">
        <v>0</v>
      </c>
      <c r="Q29">
        <v>90</v>
      </c>
      <c r="R29">
        <v>11</v>
      </c>
      <c r="S29">
        <v>29</v>
      </c>
      <c r="T29">
        <v>10</v>
      </c>
      <c r="U29">
        <v>30</v>
      </c>
      <c r="V29">
        <v>1</v>
      </c>
      <c r="W29">
        <v>0</v>
      </c>
      <c r="X29">
        <v>33</v>
      </c>
    </row>
    <row r="30" spans="1:24" x14ac:dyDescent="0.3">
      <c r="A30" t="s">
        <v>145</v>
      </c>
      <c r="B30">
        <v>82</v>
      </c>
      <c r="C30">
        <v>30</v>
      </c>
      <c r="D30">
        <v>52</v>
      </c>
      <c r="E30" t="s">
        <v>96</v>
      </c>
      <c r="F30">
        <v>58</v>
      </c>
      <c r="G30">
        <v>1</v>
      </c>
      <c r="H30">
        <v>1</v>
      </c>
      <c r="I30">
        <v>6</v>
      </c>
      <c r="J30">
        <v>3</v>
      </c>
      <c r="K30">
        <v>0</v>
      </c>
      <c r="L30">
        <v>50</v>
      </c>
      <c r="M30">
        <v>1</v>
      </c>
      <c r="N30">
        <v>13</v>
      </c>
      <c r="O30">
        <v>2</v>
      </c>
      <c r="P30">
        <v>0</v>
      </c>
      <c r="Q30">
        <v>111</v>
      </c>
      <c r="R30">
        <v>9</v>
      </c>
      <c r="S30">
        <v>27</v>
      </c>
      <c r="T30">
        <v>11</v>
      </c>
      <c r="U30">
        <v>15</v>
      </c>
      <c r="V30">
        <v>2</v>
      </c>
      <c r="W30">
        <v>1</v>
      </c>
      <c r="X30">
        <v>40</v>
      </c>
    </row>
    <row r="31" spans="1:24" x14ac:dyDescent="0.3">
      <c r="A31" t="s">
        <v>151</v>
      </c>
      <c r="B31">
        <v>82</v>
      </c>
      <c r="C31">
        <v>17</v>
      </c>
      <c r="D31">
        <v>65</v>
      </c>
      <c r="E31" t="s">
        <v>120</v>
      </c>
      <c r="F31">
        <v>67</v>
      </c>
      <c r="G31">
        <v>3</v>
      </c>
      <c r="H31">
        <v>4</v>
      </c>
      <c r="I31">
        <v>5</v>
      </c>
      <c r="J31">
        <v>6</v>
      </c>
      <c r="K31">
        <v>3</v>
      </c>
      <c r="L31">
        <v>52</v>
      </c>
      <c r="M31">
        <v>2</v>
      </c>
      <c r="N31">
        <v>12</v>
      </c>
      <c r="O31">
        <v>7</v>
      </c>
      <c r="P31">
        <v>3</v>
      </c>
      <c r="Q31">
        <v>136</v>
      </c>
      <c r="R31">
        <v>8</v>
      </c>
      <c r="S31">
        <v>24</v>
      </c>
      <c r="T31">
        <v>17</v>
      </c>
      <c r="U31">
        <v>24</v>
      </c>
      <c r="V31">
        <v>2</v>
      </c>
      <c r="W31">
        <v>0</v>
      </c>
      <c r="X31">
        <v>25</v>
      </c>
    </row>
    <row r="32" spans="1:24" x14ac:dyDescent="0.3">
      <c r="A32" t="s">
        <v>150</v>
      </c>
      <c r="B32">
        <v>82</v>
      </c>
      <c r="C32">
        <v>18</v>
      </c>
      <c r="D32">
        <v>64</v>
      </c>
      <c r="E32" t="s">
        <v>116</v>
      </c>
      <c r="F32">
        <v>63</v>
      </c>
      <c r="G32">
        <v>1</v>
      </c>
      <c r="H32">
        <v>1</v>
      </c>
      <c r="I32">
        <v>2</v>
      </c>
      <c r="J32">
        <v>4</v>
      </c>
      <c r="K32">
        <v>1</v>
      </c>
      <c r="L32">
        <v>48</v>
      </c>
      <c r="M32">
        <v>0</v>
      </c>
      <c r="N32">
        <v>11</v>
      </c>
      <c r="O32">
        <v>7</v>
      </c>
      <c r="P32">
        <v>5</v>
      </c>
      <c r="Q32">
        <v>123</v>
      </c>
      <c r="R32">
        <v>15</v>
      </c>
      <c r="S32">
        <v>21</v>
      </c>
      <c r="T32">
        <v>10</v>
      </c>
      <c r="U32">
        <v>24</v>
      </c>
      <c r="V32">
        <v>2</v>
      </c>
      <c r="W32">
        <v>0</v>
      </c>
      <c r="X3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Box scores 2024-25</vt:lpstr>
      <vt:lpstr>Violations 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ZUCCOLOTTO</dc:creator>
  <cp:lastModifiedBy>Paola ZUCCOLOTTO</cp:lastModifiedBy>
  <dcterms:created xsi:type="dcterms:W3CDTF">2025-12-04T14:17:59Z</dcterms:created>
  <dcterms:modified xsi:type="dcterms:W3CDTF">2025-12-04T14:49:45Z</dcterms:modified>
</cp:coreProperties>
</file>